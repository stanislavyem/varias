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Dashboard" sheetId="1" state="visible" r:id="rId1"/>
    <sheet xmlns:r="http://schemas.openxmlformats.org/officeDocument/2006/relationships" name="Company_Profile" sheetId="2" state="visible" r:id="rId2"/>
    <sheet xmlns:r="http://schemas.openxmlformats.org/officeDocument/2006/relationships" name="Config" sheetId="3" state="visible" r:id="rId3"/>
    <sheet xmlns:r="http://schemas.openxmlformats.org/officeDocument/2006/relationships" name="Questions" sheetId="4" state="visible" r:id="rId4"/>
    <sheet xmlns:r="http://schemas.openxmlformats.org/officeDocument/2006/relationships" name="Responses" sheetId="5" state="visible" r:id="rId5"/>
    <sheet xmlns:r="http://schemas.openxmlformats.org/officeDocument/2006/relationships" name="Summary" sheetId="6" state="visible" r:id="rId6"/>
    <sheet xmlns:r="http://schemas.openxmlformats.org/officeDocument/2006/relationships" name="Question Guide" sheetId="7" state="visible" r:id="rId7"/>
    <sheet xmlns:r="http://schemas.openxmlformats.org/officeDocument/2006/relationships" name="Assessment Questions" sheetId="8" state="visible" r:id="rId8"/>
    <sheet xmlns:r="http://schemas.openxmlformats.org/officeDocument/2006/relationships" name="Score Interpretation" sheetId="9" state="visible" r:id="rId9"/>
    <sheet xmlns:r="http://schemas.openxmlformats.org/officeDocument/2006/relationships" name="Narrative Generator" sheetId="10" state="visible" r:id="rId10"/>
    <sheet xmlns:r="http://schemas.openxmlformats.org/officeDocument/2006/relationships" name="Subcontractor_SubScore" sheetId="11" state="visible" r:id="rId11"/>
    <sheet xmlns:r="http://schemas.openxmlformats.org/officeDocument/2006/relationships" name="Action_Templates" sheetId="12" state="visible" r:id="rId12"/>
    <sheet xmlns:r="http://schemas.openxmlformats.org/officeDocument/2006/relationships" name="Action_Register" sheetId="13" state="visible" r:id="rId13"/>
    <sheet xmlns:r="http://schemas.openxmlformats.org/officeDocument/2006/relationships" name="Action_Generator" sheetId="14" state="visible" r:id="rId14"/>
    <sheet xmlns:r="http://schemas.openxmlformats.org/officeDocument/2006/relationships" name="Outcome_Tracking" sheetId="15" state="visible" r:id="rId15"/>
    <sheet xmlns:r="http://schemas.openxmlformats.org/officeDocument/2006/relationships" name="Action_Plan" sheetId="16" state="visible" r:id="rId16"/>
  </sheets>
  <definedNames>
    <definedName name="_xlnm._FilterDatabase" localSheetId="11" hidden="1">'Action_Templates'!$A$1:$Q$1</definedName>
    <definedName name="_xlnm._FilterDatabase" localSheetId="12" hidden="1">'Action_Register'!$A$1:$AA$1</definedName>
    <definedName name="_xlnm._FilterDatabase" localSheetId="13" hidden="1">'Action_Generator'!$A$1:$K$1</definedName>
    <definedName name="_xlnm._FilterDatabase" localSheetId="14" hidden="1">'Outcome_Tracking'!$A$1:$O$1</definedName>
    <definedName name="_xlnm._FilterDatabase" localSheetId="15" hidden="1">'Action_Plan'!$A$1:$I$1</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b val="1"/>
      <sz val="16"/>
    </font>
    <font>
      <b val="1"/>
    </font>
    <font>
      <b val="1"/>
      <color rgb="00FFFFFF"/>
    </font>
    <font>
      <b val="1"/>
      <sz val="12"/>
    </font>
    <font>
      <sz val="11"/>
    </font>
    <font>
      <b val="1"/>
      <color rgb="00FFFFFF"/>
      <sz val="18"/>
    </font>
    <font>
      <b val="1"/>
      <color rgb="00FFFFFF"/>
      <sz val="12"/>
    </font>
    <font>
      <b val="1"/>
      <sz val="11"/>
    </font>
    <font>
      <b val="1"/>
      <sz val="14"/>
    </font>
    <font>
      <i val="1"/>
      <sz val="11"/>
    </font>
  </fonts>
  <fills count="4">
    <fill>
      <patternFill/>
    </fill>
    <fill>
      <patternFill patternType="gray125"/>
    </fill>
    <fill>
      <patternFill patternType="solid">
        <fgColor rgb="001F4E79"/>
      </patternFill>
    </fill>
    <fill>
      <patternFill patternType="solid">
        <fgColor rgb="00D9E1F2"/>
      </patternFill>
    </fill>
  </fills>
  <borders count="9">
    <border>
      <left/>
      <right/>
      <top/>
      <bottom/>
      <diagonal/>
    </border>
    <border>
      <left style="thin">
        <color rgb="009E9E9E"/>
      </left>
      <right style="thin">
        <color rgb="009E9E9E"/>
      </right>
      <top style="thin">
        <color rgb="009E9E9E"/>
      </top>
      <bottom style="thin">
        <color rgb="009E9E9E"/>
      </bottom>
    </border>
    <border>
      <left/>
      <right/>
      <top style="thin">
        <color rgb="009E9E9E"/>
      </top>
      <bottom/>
      <diagonal/>
    </border>
    <border>
      <left style="thin">
        <color rgb="009E9E9E"/>
      </left>
      <right/>
      <top/>
      <bottom/>
      <diagonal/>
    </border>
    <border>
      <left/>
      <right style="thin">
        <color rgb="009E9E9E"/>
      </right>
      <top style="thin">
        <color rgb="009E9E9E"/>
      </top>
      <bottom/>
      <diagonal/>
    </border>
    <border>
      <left/>
      <right style="thin">
        <color rgb="009E9E9E"/>
      </right>
      <top/>
      <bottom/>
      <diagonal/>
    </border>
    <border>
      <left style="thin">
        <color rgb="009E9E9E"/>
      </left>
      <right/>
      <top/>
      <bottom style="thin">
        <color rgb="009E9E9E"/>
      </bottom>
      <diagonal/>
    </border>
    <border>
      <left/>
      <right/>
      <top/>
      <bottom style="thin">
        <color rgb="009E9E9E"/>
      </bottom>
      <diagonal/>
    </border>
    <border>
      <left/>
      <right style="thin">
        <color rgb="009E9E9E"/>
      </right>
      <top/>
      <bottom style="thin">
        <color rgb="009E9E9E"/>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left" vertical="top" wrapText="1"/>
    </xf>
    <xf numFmtId="0" fontId="4" fillId="0" borderId="0" pivotButton="0" quotePrefix="0" xfId="0"/>
    <xf numFmtId="0" fontId="2" fillId="0" borderId="1" applyAlignment="1" pivotButton="0" quotePrefix="0" xfId="0">
      <alignment horizontal="left" vertical="top" wrapText="1"/>
    </xf>
    <xf numFmtId="0" fontId="5" fillId="0" borderId="1" applyAlignment="1" pivotButton="0" quotePrefix="0" xfId="0">
      <alignment horizontal="left" vertical="top" wrapText="1"/>
    </xf>
    <xf numFmtId="0" fontId="1" fillId="3" borderId="0" applyAlignment="1" pivotButton="0" quotePrefix="0" xfId="0">
      <alignment horizontal="left" vertical="center"/>
    </xf>
    <xf numFmtId="0" fontId="0" fillId="3" borderId="0" pivotButton="0" quotePrefix="0" xfId="0"/>
    <xf numFmtId="0" fontId="2"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wrapText="1"/>
    </xf>
    <xf numFmtId="0" fontId="0" fillId="0" borderId="0" applyAlignment="1" pivotButton="0" quotePrefix="0" xfId="0">
      <alignment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3" fillId="2" borderId="0" applyAlignment="1" pivotButton="0" quotePrefix="0" xfId="0">
      <alignment horizontal="center" vertical="center" wrapText="1"/>
    </xf>
    <xf numFmtId="0" fontId="6" fillId="2" borderId="0" applyAlignment="1" pivotButton="0" quotePrefix="0" xfId="0">
      <alignment horizontal="left" vertical="center"/>
    </xf>
    <xf numFmtId="0" fontId="7" fillId="2" borderId="0" applyAlignment="1" pivotButton="0" quotePrefix="0" xfId="0">
      <alignment horizontal="left" vertical="center"/>
    </xf>
    <xf numFmtId="0" fontId="8" fillId="0" borderId="0" applyAlignment="1" pivotButton="0" quotePrefix="0" xfId="0">
      <alignment horizontal="left"/>
    </xf>
    <xf numFmtId="0" fontId="9" fillId="0" borderId="0" pivotButton="0" quotePrefix="0" xfId="0"/>
    <xf numFmtId="10" fontId="9" fillId="0" borderId="0" pivotButton="0" quotePrefix="0" xfId="0"/>
    <xf numFmtId="0" fontId="8" fillId="0" borderId="0" pivotButton="0" quotePrefix="0" xfId="0"/>
    <xf numFmtId="0" fontId="10" fillId="0" borderId="0" pivotButton="0" quotePrefix="0" xfId="0"/>
  </cellXfs>
  <cellStyles count="1">
    <cellStyle name="Normal" xfId="0" builtinId="0" hidden="0"/>
  </cellStyles>
  <dxfs count="3">
    <dxf>
      <fill>
        <patternFill patternType="solid">
          <fgColor rgb="00FFC7CE"/>
        </patternFill>
      </fill>
    </dxf>
    <dxf>
      <fill>
        <patternFill patternType="solid">
          <fgColor rgb="00C6EF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blRatingBands" displayName="tblRatingBands" ref="A7:C11" headerRowCount="1">
  <autoFilter ref="A7:C11"/>
  <tableColumns count="3">
    <tableColumn id="1" name="Min"/>
    <tableColumn id="2" name="Max"/>
    <tableColumn id="3" name="Rating"/>
  </tableColumns>
  <tableStyleInfo name="TableStyleMedium2" showRowStripes="1"/>
</table>
</file>

<file path=xl/tables/table2.xml><?xml version="1.0" encoding="utf-8"?>
<table xmlns="http://schemas.openxmlformats.org/spreadsheetml/2006/main" id="2" name="tblQuestions" displayName="tblQuestions" ref="A1:G21" headerRowCount="1">
  <autoFilter ref="A1:G21"/>
  <tableColumns count="7">
    <tableColumn id="1" name="QuestionID"/>
    <tableColumn id="2" name="Pillar"/>
    <tableColumn id="3" name="Topic"/>
    <tableColumn id="4" name="RespType"/>
    <tableColumn id="5" name="Weight"/>
    <tableColumn id="6" name="ScaleNotes"/>
    <tableColumn id="7" name="Constraints"/>
  </tableColumns>
  <tableStyleInfo name="TableStyleMedium9" showRowStripes="1"/>
</table>
</file>

<file path=xl/tables/table3.xml><?xml version="1.0" encoding="utf-8"?>
<table xmlns="http://schemas.openxmlformats.org/spreadsheetml/2006/main" id="3" name="tblResponses" displayName="tblResponses" ref="A2:K22" headerRowCount="1">
  <autoFilter ref="A2:K22"/>
  <tableColumns count="11">
    <tableColumn id="1" name="AssessmentID"/>
    <tableColumn id="2" name="Entity"/>
    <tableColumn id="3" name="Date"/>
    <tableColumn id="4" name="QuestionID"/>
    <tableColumn id="5" name="Pillar"/>
    <tableColumn id="6" name="Response"/>
    <tableColumn id="7" name="RespType"/>
    <tableColumn id="8" name="Weight"/>
    <tableColumn id="9" name="NormScore"/>
    <tableColumn id="10" name="WeightedPts"/>
    <tableColumn id="11" name="Guidance"/>
  </tableColumns>
  <tableStyleInfo name="TableStyleMedium9" showRowStripes="1"/>
</table>
</file>

<file path=xl/tables/table4.xml><?xml version="1.0" encoding="utf-8"?>
<table xmlns="http://schemas.openxmlformats.org/spreadsheetml/2006/main" id="4" name="tblDetail" displayName="tblDetail" ref="A18:G38" headerRowCount="1">
  <autoFilter ref="A18:G38"/>
  <tableColumns count="7">
    <tableColumn id="1" name="QuestionID"/>
    <tableColumn id="2" name="Pillar"/>
    <tableColumn id="3" name="Topic"/>
    <tableColumn id="4" name="Weight"/>
    <tableColumn id="5" name="Response"/>
    <tableColumn id="6" name="NormScore"/>
    <tableColumn id="7" name="WeightedPts"/>
  </tableColumns>
  <tableStyleInfo name="TableStyleMedium9" showRowStripes="1"/>
</table>
</file>

<file path=xl/tables/table5.xml><?xml version="1.0" encoding="utf-8"?>
<table xmlns="http://schemas.openxmlformats.org/spreadsheetml/2006/main" id="5" name="tblQuestionGuide" displayName="tblQuestionGuide" ref="A5:G25" headerRowCount="1">
  <autoFilter ref="A5:G25"/>
  <tableColumns count="7">
    <tableColumn id="1" name="None"/>
    <tableColumn id="2" name="None"/>
    <tableColumn id="3" name="None"/>
    <tableColumn id="4" name="None"/>
    <tableColumn id="5" name="None"/>
    <tableColumn id="6" name="None"/>
    <tableColumn id="7" name="None"/>
  </tableColumns>
  <tableStyleInfo name="TableStyleMedium9" showRowStripes="1"/>
</table>
</file>

<file path=xl/tables/table6.xml><?xml version="1.0" encoding="utf-8"?>
<table xmlns="http://schemas.openxmlformats.org/spreadsheetml/2006/main" id="6" name="tblAssessmentQuestions" displayName="tblAssessmentQuestions" ref="A3:E23" headerRowCount="1">
  <autoFilter ref="A3:E23"/>
  <tableColumns count="5">
    <tableColumn id="1" name="None"/>
    <tableColumn id="2" name="None"/>
    <tableColumn id="3" name="None"/>
    <tableColumn id="4" name="None"/>
    <tableColumn id="5" name="None"/>
  </tableColumns>
  <tableStyleInfo name="TableStyleMedium9" showRowStripes="1"/>
</table>
</file>

<file path=xl/tables/table7.xml><?xml version="1.0" encoding="utf-8"?>
<table xmlns="http://schemas.openxmlformats.org/spreadsheetml/2006/main" id="7" name="tblOverallInterpretation" displayName="tblOverallInterpretation" ref="A5:E9" headerRowCount="1">
  <autoFilter ref="A5:E9"/>
  <tableColumns count="5">
    <tableColumn id="1" name="None"/>
    <tableColumn id="2" name="None"/>
    <tableColumn id="3" name="None"/>
    <tableColumn id="4" name="None"/>
    <tableColumn id="5" name="None"/>
  </tableColumns>
  <tableStyleInfo name="TableStyleMedium9" showRowStripes="1"/>
</table>
</file>

<file path=xl/tables/table8.xml><?xml version="1.0" encoding="utf-8"?>
<table xmlns="http://schemas.openxmlformats.org/spreadsheetml/2006/main" id="8" name="tblPillarInterpretation" displayName="tblPillarInterpretation" ref="A12:D15" headerRowCount="1">
  <autoFilter ref="A12:D15"/>
  <tableColumns count="4">
    <tableColumn id="1" name="Pillar"/>
    <tableColumn id="2" name="What a Low Score Usually Indicates"/>
    <tableColumn id="3" name="Common Root Causes"/>
    <tableColumn id="4" name="Priority Action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 customWidth="1" min="1" max="1"/>
    <col width="28"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ht="28" customHeight="1">
      <c r="A1" s="25" t="inlineStr">
        <is>
          <t>Risk Dashboard — Executive Summary</t>
        </is>
      </c>
    </row>
    <row r="3" ht="20" customHeight="1">
      <c r="A3" s="26" t="inlineStr">
        <is>
          <t>Company</t>
        </is>
      </c>
      <c r="E3" s="26" t="inlineStr">
        <is>
          <t>Risk Snapshot</t>
        </is>
      </c>
    </row>
    <row r="4">
      <c r="A4" s="27" t="inlineStr">
        <is>
          <t>Company Name:</t>
        </is>
      </c>
      <c r="B4" s="28">
        <f>'Company_Profile'!B2</f>
        <v/>
      </c>
      <c r="E4" s="27" t="inlineStr">
        <is>
          <t>Safety Guardrail:</t>
        </is>
      </c>
      <c r="F4" s="28">
        <f>IFERROR(VLOOKUP("Subcontractor Guardrail Triggered",Summary!A:B,2,FALSE),"")</f>
        <v/>
      </c>
    </row>
    <row r="5">
      <c r="A5" s="27" t="inlineStr">
        <is>
          <t>Assessment ID:</t>
        </is>
      </c>
      <c r="B5" s="28">
        <f>'Company_Profile'!B5</f>
        <v/>
      </c>
      <c r="E5" s="27" t="inlineStr">
        <is>
          <t>Open Actions:</t>
        </is>
      </c>
      <c r="F5" s="28">
        <f>COUNTIF(Action_Register!O:O,"Open")</f>
        <v/>
      </c>
    </row>
    <row r="6">
      <c r="A6" s="27" t="inlineStr">
        <is>
          <t>Assessment Date:</t>
        </is>
      </c>
      <c r="B6" s="28">
        <f>'Company_Profile'!B6</f>
        <v/>
      </c>
      <c r="E6" s="27" t="inlineStr">
        <is>
          <t>Verified Actions:</t>
        </is>
      </c>
      <c r="F6" s="28">
        <f>COUNTIF(Action_Register!O:O,"Verified")</f>
        <v/>
      </c>
    </row>
    <row r="7">
      <c r="E7" s="27" t="inlineStr">
        <is>
          <t>Closed Actions:</t>
        </is>
      </c>
      <c r="F7" s="28">
        <f>COUNTIF(Action_Register!O:O,"Closed")</f>
        <v/>
      </c>
    </row>
    <row r="8">
      <c r="E8" s="27" t="inlineStr">
        <is>
          <t>Blocked Closures:</t>
        </is>
      </c>
      <c r="F8" s="28">
        <f>COUNTIF(Action_Register!AE:AE,"BLOCKED")</f>
        <v/>
      </c>
    </row>
    <row r="9">
      <c r="E9" s="27" t="inlineStr">
        <is>
          <t>Execution Momentum:</t>
        </is>
      </c>
      <c r="F9" s="28">
        <f>IFERROR(LOOKUP(2,1/(Outcome_Tracking!Q:Q&lt;&gt;""),Outcome_Tracking!Q:Q),"")</f>
        <v/>
      </c>
    </row>
    <row r="11" ht="20" customHeight="1">
      <c r="A11" s="26" t="inlineStr">
        <is>
          <t>Outcome Tracking (Most Recent)</t>
        </is>
      </c>
    </row>
    <row r="12">
      <c r="A12" s="27" t="inlineStr">
        <is>
          <t>Most Recent Loss Ratio:</t>
        </is>
      </c>
      <c r="B12" s="29">
        <f>IFERROR(LOOKUP(2,1/(Outcome_Tracking!K:K&lt;&gt;""),Outcome_Tracking!K:K),"")</f>
        <v/>
      </c>
    </row>
    <row r="13">
      <c r="A13" s="27" t="inlineStr">
        <is>
          <t>Most Recent Trend:</t>
        </is>
      </c>
      <c r="B13" s="28">
        <f>IFERROR(LOOKUP(2,1/(Outcome_Tracking!M:M&lt;&gt;""),Outcome_Tracking!M:M),"")</f>
        <v/>
      </c>
    </row>
    <row r="14">
      <c r="A14" s="27" t="inlineStr">
        <is>
          <t>Guardrail Active at Checkpoint:</t>
        </is>
      </c>
      <c r="B14" s="28">
        <f>IFERROR(LOOKUP(2,1/(Outcome_Tracking!O:O&lt;&gt;""),Outcome_Tracking!O:O),"")</f>
        <v/>
      </c>
    </row>
    <row r="16">
      <c r="A16" s="26" t="inlineStr">
        <is>
          <t>Top Risks &amp; Next Actions</t>
        </is>
      </c>
    </row>
    <row r="17">
      <c r="A17" s="27" t="inlineStr">
        <is>
          <t>Blocking Actions (if any):</t>
        </is>
      </c>
    </row>
    <row r="18">
      <c r="A18" s="30" t="inlineStr">
        <is>
          <t>Blocking Count:</t>
        </is>
      </c>
      <c r="B18" s="28">
        <f>COUNTIFS(Action_Register!K:K,"YES",Action_Register!O:O,"&lt;&gt;Closed",Action_Register!O:O,"&lt;&gt;")</f>
        <v/>
      </c>
    </row>
    <row r="19">
      <c r="A19" s="30" t="inlineStr">
        <is>
          <t>Critical Open Count:</t>
        </is>
      </c>
      <c r="B19" s="28">
        <f>COUNTIFS(Action_Register!J:J,"Critical",Action_Register!O:O,"Open")</f>
        <v/>
      </c>
    </row>
    <row r="20">
      <c r="A20" s="30" t="inlineStr">
        <is>
          <t>Next Step:</t>
        </is>
      </c>
      <c r="B20" s="31">
        <f>"Review Action_Plan tab and filter to Open + Critical + Blocking."</f>
        <v/>
      </c>
    </row>
  </sheetData>
  <mergeCells count="5">
    <mergeCell ref="E3:I3"/>
    <mergeCell ref="A11:I11"/>
    <mergeCell ref="A1:I1"/>
    <mergeCell ref="A3:C3"/>
    <mergeCell ref="A16:I16"/>
  </mergeCells>
  <conditionalFormatting sqref="F4">
    <cfRule type="cellIs" priority="1" operator="equal" dxfId="0">
      <formula>"YES"</formula>
    </cfRule>
  </conditionalFormatting>
  <conditionalFormatting sqref="B13">
    <cfRule type="cellIs" priority="2" operator="equal" dxfId="0">
      <formula>"Adverse"</formula>
    </cfRule>
    <cfRule type="cellIs" priority="3" operator="equal" dxfId="1">
      <formula>"Improving"</formula>
    </cfRule>
  </conditionalFormatting>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s>
  <sheetData>
    <row r="1" ht="24" customHeight="1">
      <c r="A1" s="11" t="inlineStr">
        <is>
          <t>Company Profile</t>
        </is>
      </c>
    </row>
    <row r="2" ht="20" customHeight="1">
      <c r="A2" s="13" t="inlineStr">
        <is>
          <t>Company Name</t>
        </is>
      </c>
      <c r="B2" s="14" t="inlineStr">
        <is>
          <t>Sample Insured</t>
        </is>
      </c>
    </row>
    <row r="3" ht="45" customHeight="1">
      <c r="A3" s="13" t="inlineStr">
        <is>
          <t>Company Address</t>
        </is>
      </c>
      <c r="B3" s="14" t="inlineStr"/>
    </row>
    <row r="4" ht="20" customHeight="1">
      <c r="A4" s="13" t="inlineStr">
        <is>
          <t>Company Representative</t>
        </is>
      </c>
      <c r="B4" s="14" t="inlineStr"/>
    </row>
    <row r="5" ht="20" customHeight="1">
      <c r="A5" s="13" t="inlineStr">
        <is>
          <t>Assessment ID</t>
        </is>
      </c>
      <c r="B5" s="14" t="inlineStr">
        <is>
          <t>A-0001</t>
        </is>
      </c>
    </row>
    <row r="6" ht="20" customHeight="1">
      <c r="A6" s="13" t="inlineStr">
        <is>
          <t>Assessment Date</t>
        </is>
      </c>
      <c r="B6" s="15">
        <f>TODAY()</f>
        <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22" customWidth="1" min="3" max="3"/>
  </cols>
  <sheetData>
    <row r="1">
      <c r="A1" s="1" t="inlineStr">
        <is>
          <t>Risk App Scoring Engine — Final Weights (Safety 40 / WC 20 / Fleet 40)</t>
        </is>
      </c>
    </row>
    <row r="3">
      <c r="A3" s="2" t="inlineStr">
        <is>
          <t>Enter 1–5 in Responses. Overall score is calculated from global weights in Questions.</t>
        </is>
      </c>
    </row>
    <row r="5">
      <c r="A5" s="3" t="inlineStr">
        <is>
          <t>Overall Rating Bands</t>
        </is>
      </c>
    </row>
    <row r="7">
      <c r="A7" s="4" t="inlineStr">
        <is>
          <t>Min</t>
        </is>
      </c>
      <c r="B7" s="4" t="inlineStr">
        <is>
          <t>Max</t>
        </is>
      </c>
      <c r="C7" s="4" t="inlineStr">
        <is>
          <t>Rating</t>
        </is>
      </c>
    </row>
    <row r="8">
      <c r="A8" s="5" t="n">
        <v>0</v>
      </c>
      <c r="B8" s="5" t="n">
        <v>54.999</v>
      </c>
      <c r="C8" s="5" t="inlineStr">
        <is>
          <t>High Risk</t>
        </is>
      </c>
    </row>
    <row r="9">
      <c r="A9" s="5" t="n">
        <v>55</v>
      </c>
      <c r="B9" s="5" t="n">
        <v>69.999</v>
      </c>
      <c r="C9" s="5" t="inlineStr">
        <is>
          <t>Elevated Risk</t>
        </is>
      </c>
    </row>
    <row r="10">
      <c r="A10" s="5" t="n">
        <v>70</v>
      </c>
      <c r="B10" s="5" t="n">
        <v>84.999</v>
      </c>
      <c r="C10" s="5" t="inlineStr">
        <is>
          <t>Moderate Risk</t>
        </is>
      </c>
    </row>
    <row r="11">
      <c r="A11" s="5" t="n">
        <v>85</v>
      </c>
      <c r="B11" s="5" t="n">
        <v>100</v>
      </c>
      <c r="C11" s="5" t="inlineStr">
        <is>
          <t>Strong / Low Risk</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2" customWidth="1" min="3" max="3"/>
    <col width="70" customWidth="1" min="4" max="4"/>
    <col width="12" customWidth="1" min="5" max="5"/>
    <col width="10" customWidth="1" min="6" max="6"/>
    <col width="70" customWidth="1" min="7" max="7"/>
    <col width="50" customWidth="1" min="8" max="8"/>
  </cols>
  <sheetData>
    <row r="1">
      <c r="A1" s="4" t="inlineStr">
        <is>
          <t>QuestionID</t>
        </is>
      </c>
      <c r="B1" s="4" t="inlineStr">
        <is>
          <t>Pillar</t>
        </is>
      </c>
      <c r="C1" s="4" t="inlineStr">
        <is>
          <t>Topic</t>
        </is>
      </c>
      <c r="D1" s="4" t="inlineStr">
        <is>
          <t>Question Text</t>
        </is>
      </c>
      <c r="E1" s="4" t="inlineStr">
        <is>
          <t>RespType</t>
        </is>
      </c>
      <c r="F1" s="4" t="inlineStr">
        <is>
          <t>Weight</t>
        </is>
      </c>
      <c r="G1" s="4" t="inlineStr">
        <is>
          <t>ScaleNotes</t>
        </is>
      </c>
      <c r="H1" s="4" t="inlineStr">
        <is>
          <t>Constraints</t>
        </is>
      </c>
    </row>
    <row r="2">
      <c r="A2" s="6" t="inlineStr">
        <is>
          <t>SAF-01</t>
        </is>
      </c>
      <c r="B2" s="6" t="inlineStr">
        <is>
          <t>Safety</t>
        </is>
      </c>
      <c r="C2" s="7" t="inlineStr">
        <is>
          <t>Policy Review &amp; Leadership</t>
        </is>
      </c>
      <c r="D2" s="7" t="inlineStr">
        <is>
          <t>Is there a formal safety policy, how often is it reviewed, and how is executive leadership involved in supporting and enforcing safety expectations?</t>
        </is>
      </c>
      <c r="E2" s="6" t="inlineStr">
        <is>
          <t>Scale1to5</t>
        </is>
      </c>
      <c r="F2" s="6" t="n">
        <v>0.04</v>
      </c>
      <c r="G2" s="7" t="inlineStr">
        <is>
          <t>1=No formal review; leadership unclear.
2=Reviewed &gt;24 months ago; limited/unclear leadership.
3=Reviewed within 12–24 months; some leadership participation.
4=Reviewed within last 12 months; defined leadership roles involved.
5=Reviewed within last 12 months; includes executive-level participation.</t>
        </is>
      </c>
      <c r="H2" s="7" t="inlineStr">
        <is>
          <t>Constraint: if not reviewed on a defined interval, cap at 3.</t>
        </is>
      </c>
    </row>
    <row r="3">
      <c r="A3" s="6" t="inlineStr">
        <is>
          <t>SAF-02</t>
        </is>
      </c>
      <c r="B3" s="6" t="inlineStr">
        <is>
          <t>Safety</t>
        </is>
      </c>
      <c r="C3" s="7" t="inlineStr">
        <is>
          <t>Training (Hire + Method + Verification)</t>
        </is>
      </c>
      <c r="D3" s="7" t="inlineStr">
        <is>
          <t>At what point do employees receive safety training, how often is it conducted, by what methods, and how is understanding or competency verified?</t>
        </is>
      </c>
      <c r="E3" s="6" t="inlineStr">
        <is>
          <t>Scale1to5</t>
        </is>
      </c>
      <c r="F3" s="6" t="n">
        <v>0.08</v>
      </c>
      <c r="G3" s="7" t="inlineStr">
        <is>
          <t>1=Infrequent/ad hoc; employees may work before training; passive; no verification.
2=Scheduled but employees may work before training; limited verification.
3=Training at/before time of hire + cadence; mostly classroom/online; limited verification.
4=Training at/before time of hire + routine cadence; hands-on/field; documented observation/coaching.
5=Training at/before time of hire + cadence AND triggers; verified via observation/coaching and follow-up.</t>
        </is>
      </c>
      <c r="H3" s="7" t="inlineStr">
        <is>
          <t>Constraint: if employees work before training, cap at 2.</t>
        </is>
      </c>
    </row>
    <row r="4">
      <c r="A4" s="6" t="inlineStr">
        <is>
          <t>SAF-03</t>
        </is>
      </c>
      <c r="B4" s="6" t="inlineStr">
        <is>
          <t>Safety</t>
        </is>
      </c>
      <c r="C4" s="7" t="inlineStr">
        <is>
          <t>Incidents &amp; Near-Misses (System Fixes)</t>
        </is>
      </c>
      <c r="D4" s="7" t="inlineStr">
        <is>
          <t>How are safety incidents and near-misses investigated, how are deficiencies in safety management systems identified, and how are those deficiencies corrected?</t>
        </is>
      </c>
      <c r="E4" s="6" t="inlineStr">
        <is>
          <t>Scale1to5</t>
        </is>
      </c>
      <c r="F4" s="6" t="n">
        <v>0.06</v>
      </c>
      <c r="G4" s="7" t="inlineStr">
        <is>
          <t>1=Reactive; near-misses rarely reported; actions informal; no verification.
2=Documented but shallow; near-miss inconsistent; actions delayed/closed without verification.
3=Defined process for incidents+near-misses; owners/due dates; limited effectiveness verification.
4=Prompt structured investigations; system fixes implemented; follow-up verifies effectiveness.
5=Root-cause + risk prioritization; leadership reviews trends; effectiveness verified over time.</t>
        </is>
      </c>
      <c r="H4" s="7" t="inlineStr">
        <is>
          <t>Constraint: if near-misses not reviewed, cap at 2. If only employee blame, cap at 3.</t>
        </is>
      </c>
    </row>
    <row r="5">
      <c r="A5" s="6" t="inlineStr">
        <is>
          <t>SAF-04</t>
        </is>
      </c>
      <c r="B5" s="6" t="inlineStr">
        <is>
          <t>Safety</t>
        </is>
      </c>
      <c r="C5" s="7" t="inlineStr">
        <is>
          <t>Supervisor Observations &amp; Coaching (System Focus)</t>
        </is>
      </c>
      <c r="D5" s="7" t="inlineStr">
        <is>
          <t>How do supervisors conduct safety observations, provide coaching, and address system-level contributors rather than placing blame solely on employees?</t>
        </is>
      </c>
      <c r="E5" s="6" t="inlineStr">
        <is>
          <t>Scale1to5</t>
        </is>
      </c>
      <c r="F5" s="6" t="n">
        <v>0.08</v>
      </c>
      <c r="G5" s="7" t="inlineStr">
        <is>
          <t>1=Rare/reactive or punitive; rule-violation focused; no follow-up.
2=Occasional and documented; mostly behavior-focused; limited escalation/system fixes.
3=Routine observations; some system issues; follow-up inconsistent.
4=Routine and system-focused; issues documented/escalated; actions verified.
5=Embedded practice; trend review; coaching drives system change; effectiveness verified.</t>
        </is>
      </c>
      <c r="H5" s="7" t="inlineStr">
        <is>
          <t>Constraint: if observations are primarily punitive/behavior-only, cap at 2.</t>
        </is>
      </c>
    </row>
    <row r="6">
      <c r="A6" s="6" t="inlineStr">
        <is>
          <t>SAF-05</t>
        </is>
      </c>
      <c r="B6" s="6" t="inlineStr">
        <is>
          <t>Safety</t>
        </is>
      </c>
      <c r="C6" s="7" t="inlineStr">
        <is>
          <t>Frontline Hazard Reporting (No Fear + Feedback)</t>
        </is>
      </c>
      <c r="D6" s="7" t="inlineStr">
        <is>
          <t>How do frontline employees report hazards and unsafe conditions without fear of reprisal, and how are those reports tracked, addressed, and communicated back?</t>
        </is>
      </c>
      <c r="E6" s="6" t="inlineStr">
        <is>
          <t>Scale1to5</t>
        </is>
      </c>
      <c r="F6" s="6" t="n">
        <v>0.08</v>
      </c>
      <c r="G6" s="7" t="inlineStr">
        <is>
          <t>1=Reporting unclear/limited; fear of discipline; little tracking/response.
2=Mechanism exists but low trust; inconsistent tracking/response; little feedback.
3=Clear reporting without fear; tracked/addressed; mostly reactive; participation not reinforced.
4=Actively encouraged; timely response; feedback provided; leadership supports reporting.
5=Embedded and reinforced; recognition/rewards; trends reviewed; employee input shapes improvements.</t>
        </is>
      </c>
      <c r="H6" s="7" t="inlineStr">
        <is>
          <t>Constraint: if reporting leads to blame/discipline, cap at 1. If no feedback loop, cap at 3.</t>
        </is>
      </c>
    </row>
    <row r="7">
      <c r="A7" s="6" t="inlineStr">
        <is>
          <t>SAF-06</t>
        </is>
      </c>
      <c r="B7" s="6" t="inlineStr">
        <is>
          <t>Safety</t>
        </is>
      </c>
      <c r="C7" s="7" t="inlineStr">
        <is>
          <t>Management Review &amp; Action (Decisions + Follow-through)</t>
        </is>
      </c>
      <c r="D7" s="7" t="inlineStr">
        <is>
          <t>How does management review safety performance, what decisions are made as a result, and how is follow-through verified?</t>
        </is>
      </c>
      <c r="E7" s="6" t="inlineStr">
        <is>
          <t>Scale1to5</t>
        </is>
      </c>
      <c r="F7" s="6" t="n">
        <v>0.06</v>
      </c>
      <c r="G7" s="7" t="inlineStr">
        <is>
          <t>1=Rare/symbolic; reactive; no documented actions/verification.
2=Periodic but passive; mostly lagging metrics; limited/unresourced actions.
3=Regular structured reviews include some leading indicators; inconsistent follow-through.
4=Regular leading+lagging review; owners assigned; resources allocated; completion verified.
5=Strategic integration; decisions affect staffing/scheduling/capital; leadership accountable; effectiveness verified.</t>
        </is>
      </c>
      <c r="H7" s="7" t="inlineStr">
        <is>
          <t>Constraint: if lagging-only review, cap at 2. If actions not resourced, cap at 3.</t>
        </is>
      </c>
    </row>
    <row r="8">
      <c r="A8" s="6" t="inlineStr">
        <is>
          <t>WC-01</t>
        </is>
      </c>
      <c r="B8" s="6" t="inlineStr">
        <is>
          <t>WorkersComp</t>
        </is>
      </c>
      <c r="C8" s="7" t="inlineStr">
        <is>
          <t>Injury Reporting Timeliness &amp; Accountability</t>
        </is>
      </c>
      <c r="D8" s="7" t="inlineStr">
        <is>
          <t>How are work-related injuries reported, who is responsible for reporting, and how is timely reporting enforced to preserve medical-only and return-to-work outcomes?</t>
        </is>
      </c>
      <c r="E8" s="6" t="inlineStr">
        <is>
          <t>Scale1to5</t>
        </is>
      </c>
      <c r="F8" s="6" t="n">
        <v>0.04</v>
      </c>
      <c r="G8" s="7" t="inlineStr">
        <is>
          <t>1=Expectations unclear; employees self-decide; supervisor role undefined; delays common.
2=Policy exists but weak communication/enforcement; delays frequent.
3=Roles defined; most injuries reported timely; monitoring/enforcement inconsistent.
4=All injuries required; supervisors escalate; timeliness tracked; delays addressed.
5=Immediate reporting embedded; metrics tracked and improved.</t>
        </is>
      </c>
      <c r="H8" s="7" t="inlineStr">
        <is>
          <t>Constraint: delayed reporting that prevents early medical intervention/RTW caps at 2.</t>
        </is>
      </c>
    </row>
    <row r="9">
      <c r="A9" s="6" t="inlineStr">
        <is>
          <t>WC-02</t>
        </is>
      </c>
      <c r="B9" s="6" t="inlineStr">
        <is>
          <t>WorkersComp</t>
        </is>
      </c>
      <c r="C9" s="7" t="inlineStr">
        <is>
          <t>Medical Direction (Clinics + Nurse Triage + Telemedicine)</t>
        </is>
      </c>
      <c r="D9" s="7" t="inlineStr">
        <is>
          <t>How is medical care directed following an injury, including use of nurse triage, telemedicine, and vetted occupational medical providers?</t>
        </is>
      </c>
      <c r="E9" s="6" t="inlineStr">
        <is>
          <t>Scale1to5</t>
        </is>
      </c>
      <c r="F9" s="6" t="n">
        <v>0.04</v>
      </c>
      <c r="G9" s="7" t="inlineStr">
        <is>
          <t>1=Uncontrolled entry; no direction/triage; restrictions unmanaged.
2=Informal/inconsistent direction; triage/telemed optional/rare.
3=Generally directed to occupational care/triage; limited coordination.
4=Directed to vetted clinics/triage/telemed as appropriate; coordinated; restrictions managed.
5=Integrated triage/telemed + vetted clinics; proactive restriction management; multi-state ready.</t>
        </is>
      </c>
      <c r="H9" s="7" t="inlineStr">
        <is>
          <t>Constraint: if employees choose initial providers without direction, cap at 2. For remote/multi-state, no triage/telemed caps at 3.</t>
        </is>
      </c>
    </row>
    <row r="10">
      <c r="A10" s="6" t="inlineStr">
        <is>
          <t>WC-03</t>
        </is>
      </c>
      <c r="B10" s="6" t="inlineStr">
        <is>
          <t>WorkersComp</t>
        </is>
      </c>
      <c r="C10" s="7" t="inlineStr">
        <is>
          <t>Return-to-Work Execution (Transitional Duty)</t>
        </is>
      </c>
      <c r="D10" s="7" t="inlineStr">
        <is>
          <t>How does the organization implement and manage return-to-work or transitional duty to reduce lost time and support recovery?</t>
        </is>
      </c>
      <c r="E10" s="6" t="inlineStr">
        <is>
          <t>Scale1to5</t>
        </is>
      </c>
      <c r="F10" s="6" t="n">
        <v>0.04</v>
      </c>
      <c r="G10" s="7" t="inlineStr">
        <is>
          <t>1=No RTW; off work until fully released.
2=RTW policy exists but avoided; options limited; lost-time common.
3=Options exist; used reactively; inconsistent by supervisor/location.
4=Early and consistent RTW; tasks pre-identified; restrictions accommodated.
5=Embedded RTW; supervisors accountable; outcomes tracked and improved.</t>
        </is>
      </c>
      <c r="H10" s="7" t="inlineStr">
        <is>
          <t>Constraint: if transitional duty not identified in advance, cap at 3. If supervisors resist restrictions, cap at 2.</t>
        </is>
      </c>
    </row>
    <row r="11">
      <c r="A11" s="6" t="inlineStr">
        <is>
          <t>WC-04</t>
        </is>
      </c>
      <c r="B11" s="6" t="inlineStr">
        <is>
          <t>WorkersComp</t>
        </is>
      </c>
      <c r="C11" s="7" t="inlineStr">
        <is>
          <t>Claim Oversight (Ownership to Closure)</t>
        </is>
      </c>
      <c r="D11" s="7" t="inlineStr">
        <is>
          <t>Who is responsible for managing workers’ compensation claims from initial report through closure, and how is progress monitored?</t>
        </is>
      </c>
      <c r="E11" s="6" t="inlineStr">
        <is>
          <t>Scale1to5</t>
        </is>
      </c>
      <c r="F11" s="6" t="n">
        <v>0.03</v>
      </c>
      <c r="G11" s="7" t="inlineStr">
        <is>
          <t>1=No internal ownership; carrier-only; minimal employee contact.
2=Informal ownership; inconsistent follow-up/communication.
3=Defined role exists; periodic oversight; inconsistent escalation.
4=Clear owner follows claims to closure; regular reviews; barriers addressed.
5=Proactive owner; early escalation; coordinated with carrier; timely resolution.</t>
        </is>
      </c>
      <c r="H11" s="7" t="inlineStr">
        <is>
          <t>Constraint: if no specific internal role follows claims to closure, cap at 2. Renewal-only review caps at 2.</t>
        </is>
      </c>
    </row>
    <row r="12">
      <c r="A12" s="6" t="inlineStr">
        <is>
          <t>WC-05</t>
        </is>
      </c>
      <c r="B12" s="6" t="inlineStr">
        <is>
          <t>WorkersComp</t>
        </is>
      </c>
      <c r="C12" s="7" t="inlineStr">
        <is>
          <t>Claims Review Intervals (Open Claims + Trends + Action)</t>
        </is>
      </c>
      <c r="D12" s="7" t="inlineStr">
        <is>
          <t>At what intervals are workers’ compensation claims reviewed, and how are open claims, trends, and corrective actions tracked?</t>
        </is>
      </c>
      <c r="E12" s="6" t="inlineStr">
        <is>
          <t>Scale1to5</t>
        </is>
      </c>
      <c r="F12" s="6" t="n">
        <v>0.03</v>
      </c>
      <c r="G12" s="7" t="inlineStr">
        <is>
          <t>1=No structured review; open claims drift.
2=Infrequent/renewal-only; little action.
3=Single cadence (e.g., quarterly); limited tracking of actions.
4=Multi-interval reviews (e.g., monthly open-claim + quarterly trends); actions assigned/tracked.
5=Dynamic cadence + triggers; drives closure and prevention; effectiveness monitored.</t>
        </is>
      </c>
      <c r="H12" s="7" t="inlineStr">
        <is>
          <t>Constraint: renewal-only caps at 2. If open claims not reviewed regularly to drive closure, cap at 3.</t>
        </is>
      </c>
    </row>
    <row r="13">
      <c r="A13" s="6" t="inlineStr">
        <is>
          <t>WC-06</t>
        </is>
      </c>
      <c r="B13" s="6" t="inlineStr">
        <is>
          <t>WorkersComp</t>
        </is>
      </c>
      <c r="C13" s="7" t="inlineStr">
        <is>
          <t>Employee Trust &amp; Check-In Cadence</t>
        </is>
      </c>
      <c r="D13" s="7" t="inlineStr">
        <is>
          <t>Who maintains contact with injured employees, how often do check-ins occur, and how is trust maintained throughout the claim?</t>
        </is>
      </c>
      <c r="E13" s="6" t="inlineStr">
        <is>
          <t>Scale1to5</t>
        </is>
      </c>
      <c r="F13" s="6" t="n">
        <v>0.02</v>
      </c>
      <c r="G13" s="7" t="inlineStr">
        <is>
          <t>1=No owner/cadence; reactive contact only.
2=Informal/irregular check-ins; employees unsure who to contact.
3=Defined role; periodic check-ins but inconsistent.
4=Clear owner; defined regular check-ins; employees understand process.
5=Structured cadence + milestones; proactive, trust-centered engagement.</t>
        </is>
      </c>
      <c r="H13" s="7" t="inlineStr">
        <is>
          <t>Constraint: if no specific internal role owns check-ins, cap at 2. If no defined cadence, cap at 3.</t>
        </is>
      </c>
    </row>
    <row r="14">
      <c r="A14" s="6" t="inlineStr">
        <is>
          <t>FL-01</t>
        </is>
      </c>
      <c r="B14" s="6" t="inlineStr">
        <is>
          <t>Fleet</t>
        </is>
      </c>
      <c r="C14" s="7" t="inlineStr">
        <is>
          <t>Fleet Safety Policy (Review + Executive Support)</t>
        </is>
      </c>
      <c r="D14" s="7" t="inlineStr">
        <is>
          <t>Is there a formal fleet safety policy, how often is it reviewed, and how is executive leadership involved in supporting and enforcing fleet safety expectations?</t>
        </is>
      </c>
      <c r="E14" s="6" t="inlineStr">
        <is>
          <t>Scale1to5</t>
        </is>
      </c>
      <c r="F14" s="6" t="n">
        <v>0.05</v>
      </c>
      <c r="G14" s="7" t="inlineStr">
        <is>
          <t>1=No formal fleet policy; roles/expectations unclear.
2=Policy exists but not operationalized; review infrequent; leadership distant.
3=Policy defined; periodic review; limited leadership involvement.
4=Reviewed on defined interval; leadership supports and enforces expectations.
5=Embedded executive ownership; resourced and consistently enforced.</t>
        </is>
      </c>
      <c r="H14" s="7" t="inlineStr">
        <is>
          <t>Constraint: if not reviewed on a defined interval OR no visible exec support, cap at 3.</t>
        </is>
      </c>
    </row>
    <row r="15">
      <c r="A15" s="6" t="inlineStr">
        <is>
          <t>FL-02</t>
        </is>
      </c>
      <c r="B15" s="6" t="inlineStr">
        <is>
          <t>Fleet</t>
        </is>
      </c>
      <c r="C15" s="7" t="inlineStr">
        <is>
          <t>Driver Qualification + MVR Monitoring (Annual vs Continuous)</t>
        </is>
      </c>
      <c r="D15" s="7" t="inlineStr">
        <is>
          <t>How are drivers qualified and authorized, how are motor vehicle records monitored (annually or continuously), and how are changes in driver risk addressed?</t>
        </is>
      </c>
      <c r="E15" s="6" t="inlineStr">
        <is>
          <t>Scale1to5</t>
        </is>
      </c>
      <c r="F15" s="6" t="n">
        <v>0.08</v>
      </c>
      <c r="G15" s="7" t="inlineStr">
        <is>
          <t>1=No MVR oversight; no authorization control.
2=One-time/infrequent; assumes carrier monitors MVRs.
3=Defined annual/periodic MVR review; response to changes may be slow.
4=Active monitoring (regular or third-party); triggers actions.
5=Continuous monitoring with timely intervention; authorization reflects current risk.</t>
        </is>
      </c>
      <c r="H15" s="7" t="inlineStr">
        <is>
          <t>Constraint: if assumes carrier monitors MVRs, cap at 2. Hire-only/infrequent caps at 2.</t>
        </is>
      </c>
    </row>
    <row r="16">
      <c r="A16" s="6" t="inlineStr">
        <is>
          <t>FL-03</t>
        </is>
      </c>
      <c r="B16" s="6" t="inlineStr">
        <is>
          <t>Fleet</t>
        </is>
      </c>
      <c r="C16" s="7" t="inlineStr">
        <is>
          <t>Driver Training (Condition-Based + Verified)</t>
        </is>
      </c>
      <c r="D16" s="7" t="inlineStr">
        <is>
          <t>How are drivers trained and coached, how often does training occur, how is it verified, and how is training adapted to the driving conditions and locations drivers encounter?</t>
        </is>
      </c>
      <c r="E16" s="6" t="inlineStr">
        <is>
          <t>Scale1to5</t>
        </is>
      </c>
      <c r="F16" s="6" t="n">
        <v>0.06</v>
      </c>
      <c r="G16" s="7" t="inlineStr">
        <is>
          <t>1=Minimal/generic; not adapted to locations/conditions; no verification.
2=Periodic but non-specific; limited coaching.
3=Defined hire + periodic; limited adaptation/verification.
4=Condition-based (e.g., winter/urban); verified via observation/ride-alongs/performance.
5=Dynamic coaching; adapted to geography/season/routes; driven by trends/telematics.</t>
        </is>
      </c>
      <c r="H16" s="7" t="inlineStr">
        <is>
          <t>Constraint: if training not adapted to actual conditions/locations, cap at 2. If not verified, cap at 3.</t>
        </is>
      </c>
    </row>
    <row r="17">
      <c r="A17" s="6" t="inlineStr">
        <is>
          <t>FL-04</t>
        </is>
      </c>
      <c r="B17" s="6" t="inlineStr">
        <is>
          <t>Fleet</t>
        </is>
      </c>
      <c r="C17" s="7" t="inlineStr">
        <is>
          <t>Journey Management (Routine + High-Frequency Trips)</t>
        </is>
      </c>
      <c r="D17" s="7" t="inlineStr">
        <is>
          <t>How are work-related driving journeys—including routine and frequently traveled routes—evaluated for risk, and how are high-risk trips mitigated or avoided?</t>
        </is>
      </c>
      <c r="E17" s="6" t="inlineStr">
        <is>
          <t>Scale1to5</t>
        </is>
      </c>
      <c r="F17" s="6" t="n">
        <v>0.07000000000000001</v>
      </c>
      <c r="G17" s="7" t="inlineStr">
        <is>
          <t>1=No journey evaluation; driver-only judgment.
2=Selective; routine routes not assessed; responsibility unclear.
3=Defined but incomplete; routine reassessment inconsistent.
4=All journeys incl. routine evaluated; periodic reassessment; mitigations applied.
5=Embedded + dynamic; routine routes reassessed and adjusted; trips avoided/mitigated using data.</t>
        </is>
      </c>
      <c r="H17" s="7" t="inlineStr">
        <is>
          <t>Constraint: if routine/frequent routes not periodically reassessed, cap at 2.</t>
        </is>
      </c>
    </row>
    <row r="18">
      <c r="A18" s="6" t="inlineStr">
        <is>
          <t>FL-05</t>
        </is>
      </c>
      <c r="B18" s="6" t="inlineStr">
        <is>
          <t>Fleet</t>
        </is>
      </c>
      <c r="C18" s="7" t="inlineStr">
        <is>
          <t>Behavior Monitoring + Intervention (Duty to Act)</t>
        </is>
      </c>
      <c r="D18" s="7" t="inlineStr">
        <is>
          <t>How is driver behavior monitored, who reviews driving data, and how are coaching or corrective actions taken to address risk?</t>
        </is>
      </c>
      <c r="E18" s="6" t="inlineStr">
        <is>
          <t>Scale1to5</t>
        </is>
      </c>
      <c r="F18" s="6" t="n">
        <v>0.07000000000000001</v>
      </c>
      <c r="G18" s="7" t="inlineStr">
        <is>
          <t>1=No monitoring; learns after incidents.
2=Data exists but not reviewed/acted; responsibility unclear.
3=Periodic review; inconsistent coaching/follow-up.
4=Defined cadence; clear owner; consistent coaching/corrective actions.
5=Proactive monitoring + triggers; timely coaching; interventions documented.</t>
        </is>
      </c>
      <c r="H18" s="7" t="inlineStr">
        <is>
          <t>Constraint: if data collected but not acted upon, cap at 2. Unused data increases legal exposure.</t>
        </is>
      </c>
    </row>
    <row r="19">
      <c r="A19" s="6" t="inlineStr">
        <is>
          <t>FL-06</t>
        </is>
      </c>
      <c r="B19" s="6" t="inlineStr">
        <is>
          <t>Fleet</t>
        </is>
      </c>
      <c r="C19" s="7" t="inlineStr">
        <is>
          <t>Driver Engagement (Reinforcement + Participation)</t>
        </is>
      </c>
      <c r="D19" s="7" t="inlineStr">
        <is>
          <t>How are drivers actively engaged in fleet safety, including positive reinforcement, participation initiatives, and safe reporting of concerns?</t>
        </is>
      </c>
      <c r="E19" s="6" t="inlineStr">
        <is>
          <t>Scale1to5</t>
        </is>
      </c>
      <c r="F19" s="6" t="n">
        <v>0.04</v>
      </c>
      <c r="G19" s="7" t="inlineStr">
        <is>
          <t>1=No engagement; no reinforcement; reporting minimal.
2=Passive/occasional engagement; inconsistent reinforcement.
3=Defined mechanisms but participation inconsistent.
4=Active reinforcement; constructive use of data; reporting encouraged and responded to.
5=Embedded and motivating; transparent constructive data use; high participation; no fear reporting.</t>
        </is>
      </c>
      <c r="H19" s="7" t="inlineStr">
        <is>
          <t>Constraint: if data used only for discipline/surveillance, cap at 2. No positive reinforcement caps at 3.</t>
        </is>
      </c>
    </row>
    <row r="20">
      <c r="A20" s="6" t="inlineStr">
        <is>
          <t>FL-07</t>
        </is>
      </c>
      <c r="B20" s="6" t="inlineStr">
        <is>
          <t>Fleet</t>
        </is>
      </c>
      <c r="C20" s="7" t="inlineStr">
        <is>
          <t>Fleet Incidents + Near-Miss Learning</t>
        </is>
      </c>
      <c r="D20" s="7" t="inlineStr">
        <is>
          <t>How are fleet incidents and near-misses reported, investigated, and used to improve training, journey planning, or fleet controls?</t>
        </is>
      </c>
      <c r="E20" s="6" t="inlineStr">
        <is>
          <t>Scale1to5</t>
        </is>
      </c>
      <c r="F20" s="6" t="n">
        <v>0.02</v>
      </c>
      <c r="G20" s="7" t="inlineStr">
        <is>
          <t>1=Reactive only; near-misses not reviewed; no systemic change.
2=Documented but blame-focused; near-miss rare.
3=Defined but inconsistent corrective actions.
4=Structured learning applied to training/journeys/controls.
5=Integrated learning loop; effectiveness reviewed to prevent recurrence.</t>
        </is>
      </c>
      <c r="H20" s="7" t="inlineStr">
        <is>
          <t>Constraint: if near-misses not reviewed, cap at 2. Driver-fault-only caps at 3.</t>
        </is>
      </c>
    </row>
    <row r="21">
      <c r="A21" s="6" t="inlineStr">
        <is>
          <t>FL-08</t>
        </is>
      </c>
      <c r="B21" s="6" t="inlineStr">
        <is>
          <t>Fleet</t>
        </is>
      </c>
      <c r="C21" s="7" t="inlineStr">
        <is>
          <t>Management Review + Accountability (Fleet)</t>
        </is>
      </c>
      <c r="D21" s="7" t="inlineStr">
        <is>
          <t>How does leadership review fleet risk performance, assign accountability, and take action based on fleet risk metrics?</t>
        </is>
      </c>
      <c r="E21" s="6" t="inlineStr">
        <is>
          <t>Scale1to5</t>
        </is>
      </c>
      <c r="F21" s="6" t="n">
        <v>0.01</v>
      </c>
      <c r="G21" s="7" t="inlineStr">
        <is>
          <t>1=No management review; accountability unclear.
2=Infrequent/passive; little action.
3=Periodic review; limited ownership/follow-through.
4=Active review; named accountability; decisions change controls.
5=Embedded executive accountability; resources allocated; outcomes monitored.</t>
        </is>
      </c>
      <c r="H21" s="7" t="inlineStr">
        <is>
          <t>Constraint: if no defined cadence, cap at 2. If accountability diffused, cap at 3.</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2"/>
  <sheetViews>
    <sheetView workbookViewId="0">
      <pane ySplit="2" topLeftCell="A3" activePane="bottomLeft" state="frozen"/>
      <selection pane="bottomLeft" activeCell="A1" sqref="A1"/>
    </sheetView>
  </sheetViews>
  <sheetFormatPr baseColWidth="8" defaultRowHeight="15"/>
  <cols>
    <col width="14" customWidth="1" min="1" max="1"/>
    <col width="22" customWidth="1" min="2" max="2"/>
    <col width="12" customWidth="1" min="3" max="3"/>
    <col width="12" customWidth="1" min="4" max="4"/>
    <col width="70" customWidth="1" min="5" max="5"/>
    <col width="12" customWidth="1" min="6" max="6"/>
    <col width="10" customWidth="1" min="7" max="7"/>
    <col width="10" customWidth="1" min="8" max="8"/>
    <col width="10" customWidth="1" min="9" max="9"/>
    <col width="10" customWidth="1" min="10" max="10"/>
    <col width="12" customWidth="1" min="11" max="11"/>
    <col width="72" customWidth="1" min="12" max="12"/>
  </cols>
  <sheetData>
    <row r="1">
      <c r="A1" s="8" t="inlineStr">
        <is>
          <t>Enter 1–5 in Response. Pillar, Weight, and scoring auto-calculate.</t>
        </is>
      </c>
    </row>
    <row r="2">
      <c r="A2" s="4" t="inlineStr">
        <is>
          <t>AssessmentID</t>
        </is>
      </c>
      <c r="B2" s="4" t="inlineStr">
        <is>
          <t>Entity</t>
        </is>
      </c>
      <c r="C2" s="4" t="inlineStr">
        <is>
          <t>Date</t>
        </is>
      </c>
      <c r="D2" s="4" t="inlineStr">
        <is>
          <t>QuestionID</t>
        </is>
      </c>
      <c r="E2" s="4" t="inlineStr">
        <is>
          <t>Question Text</t>
        </is>
      </c>
      <c r="F2" s="4" t="inlineStr">
        <is>
          <t>Pillar</t>
        </is>
      </c>
      <c r="G2" s="4" t="inlineStr">
        <is>
          <t>Response</t>
        </is>
      </c>
      <c r="H2" s="4" t="inlineStr">
        <is>
          <t>RespType</t>
        </is>
      </c>
      <c r="I2" s="4" t="inlineStr">
        <is>
          <t>Weight</t>
        </is>
      </c>
      <c r="J2" s="4" t="inlineStr">
        <is>
          <t>NormScore</t>
        </is>
      </c>
      <c r="K2" s="4" t="inlineStr">
        <is>
          <t>WeightedPts</t>
        </is>
      </c>
      <c r="L2" s="4" t="inlineStr">
        <is>
          <t>Guidance</t>
        </is>
      </c>
    </row>
    <row r="3">
      <c r="A3" s="6">
        <f>Company_Profile!$B$5</f>
        <v/>
      </c>
      <c r="B3" s="7">
        <f>Company_Profile!$B$2</f>
        <v/>
      </c>
      <c r="C3" s="6">
        <f>Company_Profile!$B$6</f>
        <v/>
      </c>
      <c r="D3" s="6" t="inlineStr">
        <is>
          <t>SAF-01</t>
        </is>
      </c>
      <c r="E3" s="2">
        <f>IFERROR(INDEX(Questions!$D$2:$D$999,MATCH($D3,Questions!$A$2:$A$999,0)),"")</f>
        <v/>
      </c>
      <c r="F3" s="5">
        <f>IFERROR(INDEX(Questions!$B$2:$B$999,MATCH($D3,Questions!$A$2:$A$999,0)),"")</f>
        <v/>
      </c>
      <c r="G3" s="5" t="inlineStr"/>
      <c r="H3" s="5">
        <f>IFERROR(INDEX(Questions!$E$2:$E$999,MATCH($D3,Questions!$A$2:$A$999,0)),"")</f>
        <v/>
      </c>
      <c r="I3" s="5">
        <f>IFERROR(INDEX(Questions!$F$2:$F$999,MATCH($D3,Questions!$A$2:$A$999,0)),"")</f>
        <v/>
      </c>
      <c r="J3" s="5">
        <f>IF(OR($G3="", $G3=0), "", ($G3-1)/4)</f>
        <v/>
      </c>
      <c r="K3" s="5">
        <f>IF($J3="","",$J3*$I3)</f>
        <v/>
      </c>
      <c r="L3" s="7">
        <f>IFERROR(INDEX(Questions!$G$2:$G$999,MATCH($D3,Questions!$A$2:$A$999,0)),"")</f>
        <v/>
      </c>
    </row>
    <row r="4">
      <c r="A4" s="6">
        <f>Company_Profile!$B$5</f>
        <v/>
      </c>
      <c r="B4" s="7">
        <f>Company_Profile!$B$2</f>
        <v/>
      </c>
      <c r="C4" s="6">
        <f>Company_Profile!$B$6</f>
        <v/>
      </c>
      <c r="D4" s="6" t="inlineStr">
        <is>
          <t>SAF-02</t>
        </is>
      </c>
      <c r="E4" s="2">
        <f>IFERROR(INDEX(Questions!$D$2:$D$999,MATCH($D4,Questions!$A$2:$A$999,0)),"")</f>
        <v/>
      </c>
      <c r="F4" s="5">
        <f>IFERROR(INDEX(Questions!$B$2:$B$999,MATCH($D4,Questions!$A$2:$A$999,0)),"")</f>
        <v/>
      </c>
      <c r="G4" s="5" t="inlineStr"/>
      <c r="H4" s="5">
        <f>IFERROR(INDEX(Questions!$E$2:$E$999,MATCH($D4,Questions!$A$2:$A$999,0)),"")</f>
        <v/>
      </c>
      <c r="I4" s="5">
        <f>IFERROR(INDEX(Questions!$F$2:$F$999,MATCH($D4,Questions!$A$2:$A$999,0)),"")</f>
        <v/>
      </c>
      <c r="J4" s="5">
        <f>IF(OR($G4="", $G4=0), "", ($G4-1)/4)</f>
        <v/>
      </c>
      <c r="K4" s="5">
        <f>IF($J4="","",$J4*$I4)</f>
        <v/>
      </c>
      <c r="L4" s="7">
        <f>IFERROR(INDEX(Questions!$G$2:$G$999,MATCH($D4,Questions!$A$2:$A$999,0)),"")</f>
        <v/>
      </c>
    </row>
    <row r="5">
      <c r="A5" s="6">
        <f>Company_Profile!$B$5</f>
        <v/>
      </c>
      <c r="B5" s="7">
        <f>Company_Profile!$B$2</f>
        <v/>
      </c>
      <c r="C5" s="6">
        <f>Company_Profile!$B$6</f>
        <v/>
      </c>
      <c r="D5" s="6" t="inlineStr">
        <is>
          <t>SAF-03</t>
        </is>
      </c>
      <c r="E5" s="2">
        <f>IFERROR(INDEX(Questions!$D$2:$D$999,MATCH($D5,Questions!$A$2:$A$999,0)),"")</f>
        <v/>
      </c>
      <c r="F5" s="5">
        <f>IFERROR(INDEX(Questions!$B$2:$B$999,MATCH($D5,Questions!$A$2:$A$999,0)),"")</f>
        <v/>
      </c>
      <c r="G5" s="5" t="inlineStr"/>
      <c r="H5" s="5">
        <f>IFERROR(INDEX(Questions!$E$2:$E$999,MATCH($D5,Questions!$A$2:$A$999,0)),"")</f>
        <v/>
      </c>
      <c r="I5" s="5">
        <f>IFERROR(INDEX(Questions!$F$2:$F$999,MATCH($D5,Questions!$A$2:$A$999,0)),"")</f>
        <v/>
      </c>
      <c r="J5" s="5">
        <f>IF(OR($G5="", $G5=0), "", ($G5-1)/4)</f>
        <v/>
      </c>
      <c r="K5" s="5">
        <f>IF($J5="","",$J5*$I5)</f>
        <v/>
      </c>
      <c r="L5" s="7">
        <f>IFERROR(INDEX(Questions!$G$2:$G$999,MATCH($D5,Questions!$A$2:$A$999,0)),"")</f>
        <v/>
      </c>
    </row>
    <row r="6">
      <c r="A6" s="6">
        <f>Company_Profile!$B$5</f>
        <v/>
      </c>
      <c r="B6" s="7">
        <f>Company_Profile!$B$2</f>
        <v/>
      </c>
      <c r="C6" s="6">
        <f>Company_Profile!$B$6</f>
        <v/>
      </c>
      <c r="D6" s="6" t="inlineStr">
        <is>
          <t>SAF-04</t>
        </is>
      </c>
      <c r="E6" s="2">
        <f>IFERROR(INDEX(Questions!$D$2:$D$999,MATCH($D6,Questions!$A$2:$A$999,0)),"")</f>
        <v/>
      </c>
      <c r="F6" s="5">
        <f>IFERROR(INDEX(Questions!$B$2:$B$999,MATCH($D6,Questions!$A$2:$A$999,0)),"")</f>
        <v/>
      </c>
      <c r="G6" s="5" t="inlineStr"/>
      <c r="H6" s="5">
        <f>IFERROR(INDEX(Questions!$E$2:$E$999,MATCH($D6,Questions!$A$2:$A$999,0)),"")</f>
        <v/>
      </c>
      <c r="I6" s="5">
        <f>IFERROR(INDEX(Questions!$F$2:$F$999,MATCH($D6,Questions!$A$2:$A$999,0)),"")</f>
        <v/>
      </c>
      <c r="J6" s="5">
        <f>IF(OR($G6="", $G6=0), "", ($G6-1)/4)</f>
        <v/>
      </c>
      <c r="K6" s="5">
        <f>IF($J6="","",$J6*$I6)</f>
        <v/>
      </c>
      <c r="L6" s="7">
        <f>IFERROR(INDEX(Questions!$G$2:$G$999,MATCH($D6,Questions!$A$2:$A$999,0)),"")</f>
        <v/>
      </c>
    </row>
    <row r="7">
      <c r="A7" s="6">
        <f>Company_Profile!$B$5</f>
        <v/>
      </c>
      <c r="B7" s="7">
        <f>Company_Profile!$B$2</f>
        <v/>
      </c>
      <c r="C7" s="6">
        <f>Company_Profile!$B$6</f>
        <v/>
      </c>
      <c r="D7" s="6" t="inlineStr">
        <is>
          <t>SAF-05</t>
        </is>
      </c>
      <c r="E7" s="2">
        <f>IFERROR(INDEX(Questions!$D$2:$D$999,MATCH($D7,Questions!$A$2:$A$999,0)),"")</f>
        <v/>
      </c>
      <c r="F7" s="5">
        <f>IFERROR(INDEX(Questions!$B$2:$B$999,MATCH($D7,Questions!$A$2:$A$999,0)),"")</f>
        <v/>
      </c>
      <c r="G7" s="5" t="inlineStr"/>
      <c r="H7" s="5">
        <f>IFERROR(INDEX(Questions!$E$2:$E$999,MATCH($D7,Questions!$A$2:$A$999,0)),"")</f>
        <v/>
      </c>
      <c r="I7" s="5">
        <f>IFERROR(INDEX(Questions!$F$2:$F$999,MATCH($D7,Questions!$A$2:$A$999,0)),"")</f>
        <v/>
      </c>
      <c r="J7" s="5">
        <f>IF(OR($G7="", $G7=0), "", ($G7-1)/4)</f>
        <v/>
      </c>
      <c r="K7" s="5">
        <f>IF($J7="","",$J7*$I7)</f>
        <v/>
      </c>
      <c r="L7" s="7">
        <f>IFERROR(INDEX(Questions!$G$2:$G$999,MATCH($D7,Questions!$A$2:$A$999,0)),"")</f>
        <v/>
      </c>
    </row>
    <row r="8">
      <c r="A8" s="6">
        <f>Company_Profile!$B$5</f>
        <v/>
      </c>
      <c r="B8" s="7">
        <f>Company_Profile!$B$2</f>
        <v/>
      </c>
      <c r="C8" s="6">
        <f>Company_Profile!$B$6</f>
        <v/>
      </c>
      <c r="D8" s="6" t="inlineStr">
        <is>
          <t>SAF-06</t>
        </is>
      </c>
      <c r="E8" s="2">
        <f>IFERROR(INDEX(Questions!$D$2:$D$999,MATCH($D8,Questions!$A$2:$A$999,0)),"")</f>
        <v/>
      </c>
      <c r="F8" s="5">
        <f>IFERROR(INDEX(Questions!$B$2:$B$999,MATCH($D8,Questions!$A$2:$A$999,0)),"")</f>
        <v/>
      </c>
      <c r="G8" s="5" t="inlineStr"/>
      <c r="H8" s="5">
        <f>IFERROR(INDEX(Questions!$E$2:$E$999,MATCH($D8,Questions!$A$2:$A$999,0)),"")</f>
        <v/>
      </c>
      <c r="I8" s="5">
        <f>IFERROR(INDEX(Questions!$F$2:$F$999,MATCH($D8,Questions!$A$2:$A$999,0)),"")</f>
        <v/>
      </c>
      <c r="J8" s="5">
        <f>IF(OR($G8="", $G8=0), "", ($G8-1)/4)</f>
        <v/>
      </c>
      <c r="K8" s="5">
        <f>IF($J8="","",$J8*$I8)</f>
        <v/>
      </c>
      <c r="L8" s="7">
        <f>IFERROR(INDEX(Questions!$G$2:$G$999,MATCH($D8,Questions!$A$2:$A$999,0)),"")</f>
        <v/>
      </c>
    </row>
    <row r="9">
      <c r="A9" s="6">
        <f>Company_Profile!$B$5</f>
        <v/>
      </c>
      <c r="B9" s="7">
        <f>Company_Profile!$B$2</f>
        <v/>
      </c>
      <c r="C9" s="6">
        <f>Company_Profile!$B$6</f>
        <v/>
      </c>
      <c r="D9" s="6" t="inlineStr">
        <is>
          <t>WC-01</t>
        </is>
      </c>
      <c r="E9" s="2">
        <f>IFERROR(INDEX(Questions!$D$2:$D$999,MATCH($D9,Questions!$A$2:$A$999,0)),"")</f>
        <v/>
      </c>
      <c r="F9" s="5">
        <f>IFERROR(INDEX(Questions!$B$2:$B$999,MATCH($D9,Questions!$A$2:$A$999,0)),"")</f>
        <v/>
      </c>
      <c r="G9" s="5" t="inlineStr"/>
      <c r="H9" s="5">
        <f>IFERROR(INDEX(Questions!$E$2:$E$999,MATCH($D9,Questions!$A$2:$A$999,0)),"")</f>
        <v/>
      </c>
      <c r="I9" s="5">
        <f>IFERROR(INDEX(Questions!$F$2:$F$999,MATCH($D9,Questions!$A$2:$A$999,0)),"")</f>
        <v/>
      </c>
      <c r="J9" s="5">
        <f>IF(OR($G9="", $G9=0), "", ($G9-1)/4)</f>
        <v/>
      </c>
      <c r="K9" s="5">
        <f>IF($J9="","",$J9*$I9)</f>
        <v/>
      </c>
      <c r="L9" s="7">
        <f>IFERROR(INDEX(Questions!$G$2:$G$999,MATCH($D9,Questions!$A$2:$A$999,0)),"")</f>
        <v/>
      </c>
    </row>
    <row r="10">
      <c r="A10" s="6">
        <f>Company_Profile!$B$5</f>
        <v/>
      </c>
      <c r="B10" s="7">
        <f>Company_Profile!$B$2</f>
        <v/>
      </c>
      <c r="C10" s="6">
        <f>Company_Profile!$B$6</f>
        <v/>
      </c>
      <c r="D10" s="6" t="inlineStr">
        <is>
          <t>WC-02</t>
        </is>
      </c>
      <c r="E10" s="2">
        <f>IFERROR(INDEX(Questions!$D$2:$D$999,MATCH($D10,Questions!$A$2:$A$999,0)),"")</f>
        <v/>
      </c>
      <c r="F10" s="5">
        <f>IFERROR(INDEX(Questions!$B$2:$B$999,MATCH($D10,Questions!$A$2:$A$999,0)),"")</f>
        <v/>
      </c>
      <c r="G10" s="5" t="inlineStr"/>
      <c r="H10" s="5">
        <f>IFERROR(INDEX(Questions!$E$2:$E$999,MATCH($D10,Questions!$A$2:$A$999,0)),"")</f>
        <v/>
      </c>
      <c r="I10" s="5">
        <f>IFERROR(INDEX(Questions!$F$2:$F$999,MATCH($D10,Questions!$A$2:$A$999,0)),"")</f>
        <v/>
      </c>
      <c r="J10" s="5">
        <f>IF(OR($G10="", $G10=0), "", ($G10-1)/4)</f>
        <v/>
      </c>
      <c r="K10" s="5">
        <f>IF($J10="","",$J10*$I10)</f>
        <v/>
      </c>
      <c r="L10" s="7">
        <f>IFERROR(INDEX(Questions!$G$2:$G$999,MATCH($D10,Questions!$A$2:$A$999,0)),"")</f>
        <v/>
      </c>
    </row>
    <row r="11">
      <c r="A11" s="6">
        <f>Company_Profile!$B$5</f>
        <v/>
      </c>
      <c r="B11" s="7">
        <f>Company_Profile!$B$2</f>
        <v/>
      </c>
      <c r="C11" s="6">
        <f>Company_Profile!$B$6</f>
        <v/>
      </c>
      <c r="D11" s="6" t="inlineStr">
        <is>
          <t>WC-03</t>
        </is>
      </c>
      <c r="E11" s="2">
        <f>IFERROR(INDEX(Questions!$D$2:$D$999,MATCH($D11,Questions!$A$2:$A$999,0)),"")</f>
        <v/>
      </c>
      <c r="F11" s="5">
        <f>IFERROR(INDEX(Questions!$B$2:$B$999,MATCH($D11,Questions!$A$2:$A$999,0)),"")</f>
        <v/>
      </c>
      <c r="G11" s="5" t="inlineStr"/>
      <c r="H11" s="5">
        <f>IFERROR(INDEX(Questions!$E$2:$E$999,MATCH($D11,Questions!$A$2:$A$999,0)),"")</f>
        <v/>
      </c>
      <c r="I11" s="5">
        <f>IFERROR(INDEX(Questions!$F$2:$F$999,MATCH($D11,Questions!$A$2:$A$999,0)),"")</f>
        <v/>
      </c>
      <c r="J11" s="5">
        <f>IF(OR($G11="", $G11=0), "", ($G11-1)/4)</f>
        <v/>
      </c>
      <c r="K11" s="5">
        <f>IF($J11="","",$J11*$I11)</f>
        <v/>
      </c>
      <c r="L11" s="7">
        <f>IFERROR(INDEX(Questions!$G$2:$G$999,MATCH($D11,Questions!$A$2:$A$999,0)),"")</f>
        <v/>
      </c>
    </row>
    <row r="12">
      <c r="A12" s="6">
        <f>Company_Profile!$B$5</f>
        <v/>
      </c>
      <c r="B12" s="7">
        <f>Company_Profile!$B$2</f>
        <v/>
      </c>
      <c r="C12" s="6">
        <f>Company_Profile!$B$6</f>
        <v/>
      </c>
      <c r="D12" s="6" t="inlineStr">
        <is>
          <t>WC-04</t>
        </is>
      </c>
      <c r="E12" s="2">
        <f>IFERROR(INDEX(Questions!$D$2:$D$999,MATCH($D12,Questions!$A$2:$A$999,0)),"")</f>
        <v/>
      </c>
      <c r="F12" s="5">
        <f>IFERROR(INDEX(Questions!$B$2:$B$999,MATCH($D12,Questions!$A$2:$A$999,0)),"")</f>
        <v/>
      </c>
      <c r="G12" s="5" t="inlineStr"/>
      <c r="H12" s="5">
        <f>IFERROR(INDEX(Questions!$E$2:$E$999,MATCH($D12,Questions!$A$2:$A$999,0)),"")</f>
        <v/>
      </c>
      <c r="I12" s="5">
        <f>IFERROR(INDEX(Questions!$F$2:$F$999,MATCH($D12,Questions!$A$2:$A$999,0)),"")</f>
        <v/>
      </c>
      <c r="J12" s="5">
        <f>IF(OR($G12="", $G12=0), "", ($G12-1)/4)</f>
        <v/>
      </c>
      <c r="K12" s="5">
        <f>IF($J12="","",$J12*$I12)</f>
        <v/>
      </c>
      <c r="L12" s="7">
        <f>IFERROR(INDEX(Questions!$G$2:$G$999,MATCH($D12,Questions!$A$2:$A$999,0)),"")</f>
        <v/>
      </c>
    </row>
    <row r="13">
      <c r="A13" s="6">
        <f>Company_Profile!$B$5</f>
        <v/>
      </c>
      <c r="B13" s="7">
        <f>Company_Profile!$B$2</f>
        <v/>
      </c>
      <c r="C13" s="6">
        <f>Company_Profile!$B$6</f>
        <v/>
      </c>
      <c r="D13" s="6" t="inlineStr">
        <is>
          <t>WC-05</t>
        </is>
      </c>
      <c r="E13" s="2">
        <f>IFERROR(INDEX(Questions!$D$2:$D$999,MATCH($D13,Questions!$A$2:$A$999,0)),"")</f>
        <v/>
      </c>
      <c r="F13" s="5">
        <f>IFERROR(INDEX(Questions!$B$2:$B$999,MATCH($D13,Questions!$A$2:$A$999,0)),"")</f>
        <v/>
      </c>
      <c r="G13" s="5" t="inlineStr"/>
      <c r="H13" s="5">
        <f>IFERROR(INDEX(Questions!$E$2:$E$999,MATCH($D13,Questions!$A$2:$A$999,0)),"")</f>
        <v/>
      </c>
      <c r="I13" s="5">
        <f>IFERROR(INDEX(Questions!$F$2:$F$999,MATCH($D13,Questions!$A$2:$A$999,0)),"")</f>
        <v/>
      </c>
      <c r="J13" s="5">
        <f>IF(OR($G13="", $G13=0), "", ($G13-1)/4)</f>
        <v/>
      </c>
      <c r="K13" s="5">
        <f>IF($J13="","",$J13*$I13)</f>
        <v/>
      </c>
      <c r="L13" s="7">
        <f>IFERROR(INDEX(Questions!$G$2:$G$999,MATCH($D13,Questions!$A$2:$A$999,0)),"")</f>
        <v/>
      </c>
    </row>
    <row r="14">
      <c r="A14" s="6">
        <f>Company_Profile!$B$5</f>
        <v/>
      </c>
      <c r="B14" s="7">
        <f>Company_Profile!$B$2</f>
        <v/>
      </c>
      <c r="C14" s="6">
        <f>Company_Profile!$B$6</f>
        <v/>
      </c>
      <c r="D14" s="6" t="inlineStr">
        <is>
          <t>WC-06</t>
        </is>
      </c>
      <c r="E14" s="2">
        <f>IFERROR(INDEX(Questions!$D$2:$D$999,MATCH($D14,Questions!$A$2:$A$999,0)),"")</f>
        <v/>
      </c>
      <c r="F14" s="5">
        <f>IFERROR(INDEX(Questions!$B$2:$B$999,MATCH($D14,Questions!$A$2:$A$999,0)),"")</f>
        <v/>
      </c>
      <c r="G14" s="5" t="inlineStr"/>
      <c r="H14" s="5">
        <f>IFERROR(INDEX(Questions!$E$2:$E$999,MATCH($D14,Questions!$A$2:$A$999,0)),"")</f>
        <v/>
      </c>
      <c r="I14" s="5">
        <f>IFERROR(INDEX(Questions!$F$2:$F$999,MATCH($D14,Questions!$A$2:$A$999,0)),"")</f>
        <v/>
      </c>
      <c r="J14" s="5">
        <f>IF(OR($G14="", $G14=0), "", ($G14-1)/4)</f>
        <v/>
      </c>
      <c r="K14" s="5">
        <f>IF($J14="","",$J14*$I14)</f>
        <v/>
      </c>
      <c r="L14" s="7">
        <f>IFERROR(INDEX(Questions!$G$2:$G$999,MATCH($D14,Questions!$A$2:$A$999,0)),"")</f>
        <v/>
      </c>
    </row>
    <row r="15">
      <c r="A15" s="6">
        <f>Company_Profile!$B$5</f>
        <v/>
      </c>
      <c r="B15" s="7">
        <f>Company_Profile!$B$2</f>
        <v/>
      </c>
      <c r="C15" s="6">
        <f>Company_Profile!$B$6</f>
        <v/>
      </c>
      <c r="D15" s="6" t="inlineStr">
        <is>
          <t>FL-01</t>
        </is>
      </c>
      <c r="E15" s="2">
        <f>IFERROR(INDEX(Questions!$D$2:$D$999,MATCH($D15,Questions!$A$2:$A$999,0)),"")</f>
        <v/>
      </c>
      <c r="F15" s="5">
        <f>IFERROR(INDEX(Questions!$B$2:$B$999,MATCH($D15,Questions!$A$2:$A$999,0)),"")</f>
        <v/>
      </c>
      <c r="G15" s="5" t="inlineStr"/>
      <c r="H15" s="5">
        <f>IFERROR(INDEX(Questions!$E$2:$E$999,MATCH($D15,Questions!$A$2:$A$999,0)),"")</f>
        <v/>
      </c>
      <c r="I15" s="5">
        <f>IFERROR(INDEX(Questions!$F$2:$F$999,MATCH($D15,Questions!$A$2:$A$999,0)),"")</f>
        <v/>
      </c>
      <c r="J15" s="5">
        <f>IF(OR($G15="", $G15=0), "", ($G15-1)/4)</f>
        <v/>
      </c>
      <c r="K15" s="5">
        <f>IF($J15="","",$J15*$I15)</f>
        <v/>
      </c>
      <c r="L15" s="7">
        <f>IFERROR(INDEX(Questions!$G$2:$G$999,MATCH($D15,Questions!$A$2:$A$999,0)),"")</f>
        <v/>
      </c>
    </row>
    <row r="16">
      <c r="A16" s="6">
        <f>Company_Profile!$B$5</f>
        <v/>
      </c>
      <c r="B16" s="7">
        <f>Company_Profile!$B$2</f>
        <v/>
      </c>
      <c r="C16" s="6">
        <f>Company_Profile!$B$6</f>
        <v/>
      </c>
      <c r="D16" s="6" t="inlineStr">
        <is>
          <t>FL-02</t>
        </is>
      </c>
      <c r="E16" s="2">
        <f>IFERROR(INDEX(Questions!$D$2:$D$999,MATCH($D16,Questions!$A$2:$A$999,0)),"")</f>
        <v/>
      </c>
      <c r="F16" s="5">
        <f>IFERROR(INDEX(Questions!$B$2:$B$999,MATCH($D16,Questions!$A$2:$A$999,0)),"")</f>
        <v/>
      </c>
      <c r="G16" s="5" t="inlineStr"/>
      <c r="H16" s="5">
        <f>IFERROR(INDEX(Questions!$E$2:$E$999,MATCH($D16,Questions!$A$2:$A$999,0)),"")</f>
        <v/>
      </c>
      <c r="I16" s="5">
        <f>IFERROR(INDEX(Questions!$F$2:$F$999,MATCH($D16,Questions!$A$2:$A$999,0)),"")</f>
        <v/>
      </c>
      <c r="J16" s="5">
        <f>IF(OR($G16="", $G16=0), "", ($G16-1)/4)</f>
        <v/>
      </c>
      <c r="K16" s="5">
        <f>IF($J16="","",$J16*$I16)</f>
        <v/>
      </c>
      <c r="L16" s="7">
        <f>IFERROR(INDEX(Questions!$G$2:$G$999,MATCH($D16,Questions!$A$2:$A$999,0)),"")</f>
        <v/>
      </c>
    </row>
    <row r="17">
      <c r="A17" s="6">
        <f>Company_Profile!$B$5</f>
        <v/>
      </c>
      <c r="B17" s="7">
        <f>Company_Profile!$B$2</f>
        <v/>
      </c>
      <c r="C17" s="6">
        <f>Company_Profile!$B$6</f>
        <v/>
      </c>
      <c r="D17" s="6" t="inlineStr">
        <is>
          <t>FL-03</t>
        </is>
      </c>
      <c r="E17" s="2">
        <f>IFERROR(INDEX(Questions!$D$2:$D$999,MATCH($D17,Questions!$A$2:$A$999,0)),"")</f>
        <v/>
      </c>
      <c r="F17" s="5">
        <f>IFERROR(INDEX(Questions!$B$2:$B$999,MATCH($D17,Questions!$A$2:$A$999,0)),"")</f>
        <v/>
      </c>
      <c r="G17" s="5" t="inlineStr"/>
      <c r="H17" s="5">
        <f>IFERROR(INDEX(Questions!$E$2:$E$999,MATCH($D17,Questions!$A$2:$A$999,0)),"")</f>
        <v/>
      </c>
      <c r="I17" s="5">
        <f>IFERROR(INDEX(Questions!$F$2:$F$999,MATCH($D17,Questions!$A$2:$A$999,0)),"")</f>
        <v/>
      </c>
      <c r="J17" s="5">
        <f>IF(OR($G17="", $G17=0), "", ($G17-1)/4)</f>
        <v/>
      </c>
      <c r="K17" s="5">
        <f>IF($J17="","",$J17*$I17)</f>
        <v/>
      </c>
      <c r="L17" s="7">
        <f>IFERROR(INDEX(Questions!$G$2:$G$999,MATCH($D17,Questions!$A$2:$A$999,0)),"")</f>
        <v/>
      </c>
    </row>
    <row r="18">
      <c r="A18" s="6">
        <f>Company_Profile!$B$5</f>
        <v/>
      </c>
      <c r="B18" s="7">
        <f>Company_Profile!$B$2</f>
        <v/>
      </c>
      <c r="C18" s="6">
        <f>Company_Profile!$B$6</f>
        <v/>
      </c>
      <c r="D18" s="6" t="inlineStr">
        <is>
          <t>FL-04</t>
        </is>
      </c>
      <c r="E18" s="2">
        <f>IFERROR(INDEX(Questions!$D$2:$D$999,MATCH($D18,Questions!$A$2:$A$999,0)),"")</f>
        <v/>
      </c>
      <c r="F18" s="5">
        <f>IFERROR(INDEX(Questions!$B$2:$B$999,MATCH($D18,Questions!$A$2:$A$999,0)),"")</f>
        <v/>
      </c>
      <c r="G18" s="5" t="inlineStr"/>
      <c r="H18" s="5">
        <f>IFERROR(INDEX(Questions!$E$2:$E$999,MATCH($D18,Questions!$A$2:$A$999,0)),"")</f>
        <v/>
      </c>
      <c r="I18" s="5">
        <f>IFERROR(INDEX(Questions!$F$2:$F$999,MATCH($D18,Questions!$A$2:$A$999,0)),"")</f>
        <v/>
      </c>
      <c r="J18" s="5">
        <f>IF(OR($G18="", $G18=0), "", ($G18-1)/4)</f>
        <v/>
      </c>
      <c r="K18" s="5">
        <f>IF($J18="","",$J18*$I18)</f>
        <v/>
      </c>
      <c r="L18" s="7">
        <f>IFERROR(INDEX(Questions!$G$2:$G$999,MATCH($D18,Questions!$A$2:$A$999,0)),"")</f>
        <v/>
      </c>
    </row>
    <row r="19">
      <c r="A19" s="6">
        <f>Company_Profile!$B$5</f>
        <v/>
      </c>
      <c r="B19" s="7">
        <f>Company_Profile!$B$2</f>
        <v/>
      </c>
      <c r="C19" s="6">
        <f>Company_Profile!$B$6</f>
        <v/>
      </c>
      <c r="D19" s="6" t="inlineStr">
        <is>
          <t>FL-05</t>
        </is>
      </c>
      <c r="E19" s="2">
        <f>IFERROR(INDEX(Questions!$D$2:$D$999,MATCH($D19,Questions!$A$2:$A$999,0)),"")</f>
        <v/>
      </c>
      <c r="F19" s="5">
        <f>IFERROR(INDEX(Questions!$B$2:$B$999,MATCH($D19,Questions!$A$2:$A$999,0)),"")</f>
        <v/>
      </c>
      <c r="G19" s="5" t="inlineStr"/>
      <c r="H19" s="5">
        <f>IFERROR(INDEX(Questions!$E$2:$E$999,MATCH($D19,Questions!$A$2:$A$999,0)),"")</f>
        <v/>
      </c>
      <c r="I19" s="5">
        <f>IFERROR(INDEX(Questions!$F$2:$F$999,MATCH($D19,Questions!$A$2:$A$999,0)),"")</f>
        <v/>
      </c>
      <c r="J19" s="5">
        <f>IF(OR($G19="", $G19=0), "", ($G19-1)/4)</f>
        <v/>
      </c>
      <c r="K19" s="5">
        <f>IF($J19="","",$J19*$I19)</f>
        <v/>
      </c>
      <c r="L19" s="7">
        <f>IFERROR(INDEX(Questions!$G$2:$G$999,MATCH($D19,Questions!$A$2:$A$999,0)),"")</f>
        <v/>
      </c>
    </row>
    <row r="20">
      <c r="A20" s="6">
        <f>Company_Profile!$B$5</f>
        <v/>
      </c>
      <c r="B20" s="7">
        <f>Company_Profile!$B$2</f>
        <v/>
      </c>
      <c r="C20" s="6">
        <f>Company_Profile!$B$6</f>
        <v/>
      </c>
      <c r="D20" s="6" t="inlineStr">
        <is>
          <t>FL-06</t>
        </is>
      </c>
      <c r="E20" s="2">
        <f>IFERROR(INDEX(Questions!$D$2:$D$999,MATCH($D20,Questions!$A$2:$A$999,0)),"")</f>
        <v/>
      </c>
      <c r="F20" s="5">
        <f>IFERROR(INDEX(Questions!$B$2:$B$999,MATCH($D20,Questions!$A$2:$A$999,0)),"")</f>
        <v/>
      </c>
      <c r="G20" s="5" t="inlineStr"/>
      <c r="H20" s="5">
        <f>IFERROR(INDEX(Questions!$E$2:$E$999,MATCH($D20,Questions!$A$2:$A$999,0)),"")</f>
        <v/>
      </c>
      <c r="I20" s="5">
        <f>IFERROR(INDEX(Questions!$F$2:$F$999,MATCH($D20,Questions!$A$2:$A$999,0)),"")</f>
        <v/>
      </c>
      <c r="J20" s="5">
        <f>IF(OR($G20="", $G20=0), "", ($G20-1)/4)</f>
        <v/>
      </c>
      <c r="K20" s="5">
        <f>IF($J20="","",$J20*$I20)</f>
        <v/>
      </c>
      <c r="L20" s="7">
        <f>IFERROR(INDEX(Questions!$G$2:$G$999,MATCH($D20,Questions!$A$2:$A$999,0)),"")</f>
        <v/>
      </c>
    </row>
    <row r="21">
      <c r="A21" s="6">
        <f>Company_Profile!$B$5</f>
        <v/>
      </c>
      <c r="B21" s="7">
        <f>Company_Profile!$B$2</f>
        <v/>
      </c>
      <c r="C21" s="6">
        <f>Company_Profile!$B$6</f>
        <v/>
      </c>
      <c r="D21" s="6" t="inlineStr">
        <is>
          <t>FL-07</t>
        </is>
      </c>
      <c r="E21" s="2">
        <f>IFERROR(INDEX(Questions!$D$2:$D$999,MATCH($D21,Questions!$A$2:$A$999,0)),"")</f>
        <v/>
      </c>
      <c r="F21" s="5">
        <f>IFERROR(INDEX(Questions!$B$2:$B$999,MATCH($D21,Questions!$A$2:$A$999,0)),"")</f>
        <v/>
      </c>
      <c r="G21" s="5" t="inlineStr"/>
      <c r="H21" s="5">
        <f>IFERROR(INDEX(Questions!$E$2:$E$999,MATCH($D21,Questions!$A$2:$A$999,0)),"")</f>
        <v/>
      </c>
      <c r="I21" s="5">
        <f>IFERROR(INDEX(Questions!$F$2:$F$999,MATCH($D21,Questions!$A$2:$A$999,0)),"")</f>
        <v/>
      </c>
      <c r="J21" s="5">
        <f>IF(OR($G21="", $G21=0), "", ($G21-1)/4)</f>
        <v/>
      </c>
      <c r="K21" s="5">
        <f>IF($J21="","",$J21*$I21)</f>
        <v/>
      </c>
      <c r="L21" s="7">
        <f>IFERROR(INDEX(Questions!$G$2:$G$999,MATCH($D21,Questions!$A$2:$A$999,0)),"")</f>
        <v/>
      </c>
    </row>
    <row r="22">
      <c r="A22" s="6">
        <f>Company_Profile!$B$5</f>
        <v/>
      </c>
      <c r="B22" s="7">
        <f>Company_Profile!$B$2</f>
        <v/>
      </c>
      <c r="C22" s="6">
        <f>Company_Profile!$B$6</f>
        <v/>
      </c>
      <c r="D22" s="6" t="inlineStr">
        <is>
          <t>FL-08</t>
        </is>
      </c>
      <c r="E22" s="2">
        <f>IFERROR(INDEX(Questions!$D$2:$D$999,MATCH($D22,Questions!$A$2:$A$999,0)),"")</f>
        <v/>
      </c>
      <c r="F22" s="5">
        <f>IFERROR(INDEX(Questions!$B$2:$B$999,MATCH($D22,Questions!$A$2:$A$999,0)),"")</f>
        <v/>
      </c>
      <c r="G22" s="5" t="inlineStr"/>
      <c r="H22" s="5">
        <f>IFERROR(INDEX(Questions!$E$2:$E$999,MATCH($D22,Questions!$A$2:$A$999,0)),"")</f>
        <v/>
      </c>
      <c r="I22" s="5">
        <f>IFERROR(INDEX(Questions!$F$2:$F$999,MATCH($D22,Questions!$A$2:$A$999,0)),"")</f>
        <v/>
      </c>
      <c r="J22" s="5">
        <f>IF(OR($G22="", $G22=0), "", ($G22-1)/4)</f>
        <v/>
      </c>
      <c r="K22" s="5">
        <f>IF($J22="","",$J22*$I22)</f>
        <v/>
      </c>
      <c r="L22" s="7">
        <f>IFERROR(INDEX(Questions!$G$2:$G$999,MATCH($D22,Questions!$A$2:$A$999,0)),"")</f>
        <v/>
      </c>
    </row>
  </sheetData>
  <mergeCells count="1">
    <mergeCell ref="A1:K1"/>
  </mergeCells>
  <dataValidations count="2">
    <dataValidation sqref="F3:F22" showDropDown="0" showInputMessage="0" showErrorMessage="0" allowBlank="1" type="list">
      <formula1>"1,2,3,4,5"</formula1>
    </dataValidation>
    <dataValidation sqref="G3:G22" showDropDown="0" showInputMessage="0" showErrorMessage="0" allowBlank="1" type="list">
      <formula1>"1,2,3,4,5"</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38"/>
  <sheetViews>
    <sheetView workbookViewId="0">
      <pane ySplit="18" topLeftCell="A19" activePane="bottomLeft" state="frozen"/>
      <selection pane="bottomLeft" activeCell="A1" sqref="A1"/>
    </sheetView>
  </sheetViews>
  <sheetFormatPr baseColWidth="8" defaultRowHeight="15"/>
  <cols>
    <col width="12" customWidth="1" min="1" max="1"/>
    <col width="12" customWidth="1" min="2" max="2"/>
    <col width="44" customWidth="1" min="3" max="3"/>
    <col width="10" customWidth="1" min="4" max="4"/>
    <col width="10" customWidth="1" min="5" max="5"/>
    <col width="10" customWidth="1" min="6" max="6"/>
    <col width="12" customWidth="1" min="7" max="7"/>
  </cols>
  <sheetData>
    <row r="1">
      <c r="A1" s="1" t="inlineStr">
        <is>
          <t>Assessment Summary</t>
        </is>
      </c>
    </row>
    <row r="3">
      <c r="A3" s="3" t="inlineStr">
        <is>
          <t>Assessment ID</t>
        </is>
      </c>
      <c r="B3">
        <f>Company_Profile!$B$5</f>
        <v/>
      </c>
      <c r="D3" t="inlineStr">
        <is>
          <t>TotalQuestions</t>
        </is>
      </c>
      <c r="E3" t="n">
        <v>20</v>
      </c>
    </row>
    <row r="4">
      <c r="A4" s="3" t="inlineStr">
        <is>
          <t>Entity</t>
        </is>
      </c>
      <c r="B4" s="16">
        <f>Company_Profile!$B$2</f>
        <v/>
      </c>
    </row>
    <row r="5">
      <c r="A5" s="3" t="inlineStr">
        <is>
          <t>Date</t>
        </is>
      </c>
      <c r="B5" s="16">
        <f>Company_Profile!$B$6</f>
        <v/>
      </c>
    </row>
    <row r="7">
      <c r="A7" s="3" t="inlineStr">
        <is>
          <t>Completion %</t>
        </is>
      </c>
      <c r="B7">
        <f>IFERROR(ROUND(100*COUNT(Responses!$G$3:$G$999)/$E$3,0),0)</f>
        <v/>
      </c>
    </row>
    <row r="8">
      <c r="A8" s="3" t="inlineStr">
        <is>
          <t>Overall Score (0-100)</t>
        </is>
      </c>
      <c r="B8">
        <f>IF(COUNT(Responses!$G$3:$G$999)&lt;$E$3,"",ROUND(100*SUM(Responses!$K$3:$K$999),1))</f>
        <v/>
      </c>
    </row>
    <row r="9">
      <c r="A9" s="3" t="inlineStr">
        <is>
          <t>Overall Rating</t>
        </is>
      </c>
      <c r="B9">
        <f>IF(B8="","",INDEX(Config!$C$8:$C$11, MATCH(B8, Config!$A$8:$A$11, 1)))</f>
        <v/>
      </c>
    </row>
    <row r="11">
      <c r="A11" s="3" t="inlineStr">
        <is>
          <t>Pillar Scores</t>
        </is>
      </c>
    </row>
    <row r="12">
      <c r="A12" s="4" t="inlineStr">
        <is>
          <t>Pillar</t>
        </is>
      </c>
      <c r="B12" s="4" t="inlineStr">
        <is>
          <t>Score (0-100)</t>
        </is>
      </c>
      <c r="C12" s="4" t="inlineStr">
        <is>
          <t>Weight Share</t>
        </is>
      </c>
    </row>
    <row r="13">
      <c r="A13" s="7" t="inlineStr">
        <is>
          <t>Safety</t>
        </is>
      </c>
      <c r="B13" s="5">
        <f>IF($C13=0,"",ROUND(100*SUMIF(Responses!$F$3:$F$999,"Safety",Responses!$K$3:$K$999)/$C13,1))</f>
        <v/>
      </c>
      <c r="C13" s="5" t="n">
        <v>0.4</v>
      </c>
    </row>
    <row r="14">
      <c r="A14" s="7" t="inlineStr">
        <is>
          <t>WorkersComp</t>
        </is>
      </c>
      <c r="B14" s="5">
        <f>IF($C14=0,"",ROUND(100*SUMIF(Responses!$F$3:$F$999,"WorkersComp",Responses!$K$3:$K$999)/$C14,1))</f>
        <v/>
      </c>
      <c r="C14" s="5" t="n">
        <v>0.2</v>
      </c>
    </row>
    <row r="15">
      <c r="A15" s="7" t="inlineStr">
        <is>
          <t>Fleet</t>
        </is>
      </c>
      <c r="B15" s="5">
        <f>IF($C15=0,"",ROUND(100*SUMIF(Responses!$F$3:$F$999,"Fleet",Responses!$K$3:$K$999)/$C15,1))</f>
        <v/>
      </c>
      <c r="C15" s="5" t="n">
        <v>0.4</v>
      </c>
    </row>
    <row r="17">
      <c r="A17" s="3" t="inlineStr">
        <is>
          <t>Question-Level Detail</t>
        </is>
      </c>
    </row>
    <row r="18">
      <c r="A18" s="4" t="inlineStr">
        <is>
          <t>QuestionID</t>
        </is>
      </c>
      <c r="B18" s="4" t="inlineStr">
        <is>
          <t>Pillar</t>
        </is>
      </c>
      <c r="C18" s="4" t="inlineStr">
        <is>
          <t>Topic</t>
        </is>
      </c>
      <c r="D18" s="4" t="inlineStr">
        <is>
          <t>Weight</t>
        </is>
      </c>
      <c r="E18" s="4" t="inlineStr">
        <is>
          <t>Response</t>
        </is>
      </c>
      <c r="F18" s="4" t="inlineStr">
        <is>
          <t>NormScore</t>
        </is>
      </c>
      <c r="G18" s="4" t="inlineStr">
        <is>
          <t>WeightedPts</t>
        </is>
      </c>
    </row>
    <row r="19">
      <c r="A19" s="7" t="inlineStr">
        <is>
          <t>SAF-01</t>
        </is>
      </c>
      <c r="B19" s="7">
        <f>IFERROR(INDEX(Questions!$B$2:$B$999,MATCH(A19,Questions!$A$2:$A$999,0)),"")</f>
        <v/>
      </c>
      <c r="C19" s="7">
        <f>IFERROR(INDEX(Questions!$C$2:$C$999,MATCH(A19,Questions!$A$2:$A$999,0)),"")</f>
        <v/>
      </c>
      <c r="D19" s="5">
        <f>IFERROR(INDEX(Questions!$E$2:$E$999,MATCH(A19,Questions!$A$2:$A$999,0)),0)</f>
        <v/>
      </c>
      <c r="E19" s="5">
        <f>IFERROR(INDEX(Responses!$G$3:$G$999,MATCH($A19,Responses!$D$3:$D$999,0)),"")</f>
        <v/>
      </c>
      <c r="F19" s="5">
        <f>IFERROR(INDEX(Responses!$J$3:$J$999,MATCH($A19,Responses!$D$3:$D$999,0)),"")</f>
        <v/>
      </c>
      <c r="G19" s="5">
        <f>IFERROR(INDEX(Responses!$K$3:$K$999,MATCH($A19,Responses!$D$3:$D$999,0)),"")</f>
        <v/>
      </c>
    </row>
    <row r="20">
      <c r="A20" s="7" t="inlineStr">
        <is>
          <t>Safety Pillar Score (Adjusted)</t>
        </is>
      </c>
      <c r="B20" s="7">
        <f>IF(Subcontractor_SubScore!C3&lt;=2,MIN(B19,'Score Interpretation'!B3),AVERAGE(B15:B19))</f>
        <v/>
      </c>
      <c r="C20" s="7">
        <f>IFERROR(INDEX(Questions!$C$2:$C$999,MATCH(A20,Questions!$A$2:$A$999,0)),"")</f>
        <v/>
      </c>
      <c r="D20" s="5">
        <f>IFERROR(INDEX(Questions!$E$2:$E$999,MATCH(A20,Questions!$A$2:$A$999,0)),0)</f>
        <v/>
      </c>
      <c r="E20" s="5">
        <f>IFERROR(INDEX(Responses!$G$3:$G$999,MATCH($A20,Responses!$D$3:$D$999,0)),"")</f>
        <v/>
      </c>
      <c r="F20" s="5">
        <f>IFERROR(INDEX(Responses!$J$3:$J$999,MATCH($A20,Responses!$D$3:$D$999,0)),"")</f>
        <v/>
      </c>
      <c r="G20" s="5">
        <f>IFERROR(INDEX(Responses!$K$3:$K$999,MATCH($A20,Responses!$D$3:$D$999,0)),"")</f>
        <v/>
      </c>
    </row>
    <row r="21">
      <c r="A21" s="7" t="inlineStr">
        <is>
          <t>Subcontractor Guardrail Triggered</t>
        </is>
      </c>
      <c r="B21" s="7">
        <f>IF(Subcontractor_SubScore!C3&lt;=2,"YES","NO")</f>
        <v/>
      </c>
      <c r="C21" s="7">
        <f>IFERROR(INDEX(Questions!$C$2:$C$999,MATCH(A21,Questions!$A$2:$A$999,0)),"")</f>
        <v/>
      </c>
      <c r="D21" s="5">
        <f>IFERROR(INDEX(Questions!$E$2:$E$999,MATCH(A21,Questions!$A$2:$A$999,0)),0)</f>
        <v/>
      </c>
      <c r="E21" s="5">
        <f>IFERROR(INDEX(Responses!$G$3:$G$999,MATCH($A21,Responses!$D$3:$D$999,0)),"")</f>
        <v/>
      </c>
      <c r="F21" s="5">
        <f>IFERROR(INDEX(Responses!$J$3:$J$999,MATCH($A21,Responses!$D$3:$D$999,0)),"")</f>
        <v/>
      </c>
      <c r="G21" s="5">
        <f>IFERROR(INDEX(Responses!$K$3:$K$999,MATCH($A21,Responses!$D$3:$D$999,0)),"")</f>
        <v/>
      </c>
    </row>
    <row r="22">
      <c r="A22" s="7" t="inlineStr">
        <is>
          <t>SAF-04</t>
        </is>
      </c>
      <c r="B22" s="7">
        <f>IFERROR(INDEX(Questions!$B$2:$B$999,MATCH(A22,Questions!$A$2:$A$999,0)),"")</f>
        <v/>
      </c>
      <c r="C22" s="7">
        <f>IFERROR(INDEX(Questions!$C$2:$C$999,MATCH(A22,Questions!$A$2:$A$999,0)),"")</f>
        <v/>
      </c>
      <c r="D22" s="5">
        <f>IFERROR(INDEX(Questions!$E$2:$E$999,MATCH(A22,Questions!$A$2:$A$999,0)),0)</f>
        <v/>
      </c>
      <c r="E22" s="5">
        <f>IFERROR(INDEX(Responses!$G$3:$G$999,MATCH($A22,Responses!$D$3:$D$999,0)),"")</f>
        <v/>
      </c>
      <c r="F22" s="5">
        <f>IFERROR(INDEX(Responses!$J$3:$J$999,MATCH($A22,Responses!$D$3:$D$999,0)),"")</f>
        <v/>
      </c>
      <c r="G22" s="5">
        <f>IFERROR(INDEX(Responses!$K$3:$K$999,MATCH($A22,Responses!$D$3:$D$999,0)),"")</f>
        <v/>
      </c>
    </row>
    <row r="23">
      <c r="A23" s="7" t="inlineStr">
        <is>
          <t>SAF-05</t>
        </is>
      </c>
      <c r="B23" s="7">
        <f>IFERROR(INDEX(Questions!$B$2:$B$999,MATCH(A23,Questions!$A$2:$A$999,0)),"")</f>
        <v/>
      </c>
      <c r="C23" s="7">
        <f>IFERROR(INDEX(Questions!$C$2:$C$999,MATCH(A23,Questions!$A$2:$A$999,0)),"")</f>
        <v/>
      </c>
      <c r="D23" s="5">
        <f>IFERROR(INDEX(Questions!$E$2:$E$999,MATCH(A23,Questions!$A$2:$A$999,0)),0)</f>
        <v/>
      </c>
      <c r="E23" s="5">
        <f>IFERROR(INDEX(Responses!$G$3:$G$999,MATCH($A23,Responses!$D$3:$D$999,0)),"")</f>
        <v/>
      </c>
      <c r="F23" s="5">
        <f>IFERROR(INDEX(Responses!$J$3:$J$999,MATCH($A23,Responses!$D$3:$D$999,0)),"")</f>
        <v/>
      </c>
      <c r="G23" s="5">
        <f>IFERROR(INDEX(Responses!$K$3:$K$999,MATCH($A23,Responses!$D$3:$D$999,0)),"")</f>
        <v/>
      </c>
    </row>
    <row r="24">
      <c r="A24" s="7" t="inlineStr">
        <is>
          <t>SAF-06</t>
        </is>
      </c>
      <c r="B24" s="7">
        <f>IFERROR(INDEX(Questions!$B$2:$B$999,MATCH(A24,Questions!$A$2:$A$999,0)),"")</f>
        <v/>
      </c>
      <c r="C24" s="7">
        <f>IFERROR(INDEX(Questions!$C$2:$C$999,MATCH(A24,Questions!$A$2:$A$999,0)),"")</f>
        <v/>
      </c>
      <c r="D24" s="5">
        <f>IFERROR(INDEX(Questions!$E$2:$E$999,MATCH(A24,Questions!$A$2:$A$999,0)),0)</f>
        <v/>
      </c>
      <c r="E24" s="5">
        <f>IFERROR(INDEX(Responses!$G$3:$G$999,MATCH($A24,Responses!$D$3:$D$999,0)),"")</f>
        <v/>
      </c>
      <c r="F24" s="5">
        <f>IFERROR(INDEX(Responses!$J$3:$J$999,MATCH($A24,Responses!$D$3:$D$999,0)),"")</f>
        <v/>
      </c>
      <c r="G24" s="5">
        <f>IFERROR(INDEX(Responses!$K$3:$K$999,MATCH($A24,Responses!$D$3:$D$999,0)),"")</f>
        <v/>
      </c>
    </row>
    <row r="25">
      <c r="A25" s="7" t="inlineStr">
        <is>
          <t>WC-01</t>
        </is>
      </c>
      <c r="B25" s="7">
        <f>IFERROR(INDEX(Questions!$B$2:$B$999,MATCH(A25,Questions!$A$2:$A$999,0)),"")</f>
        <v/>
      </c>
      <c r="C25" s="7">
        <f>IFERROR(INDEX(Questions!$C$2:$C$999,MATCH(A25,Questions!$A$2:$A$999,0)),"")</f>
        <v/>
      </c>
      <c r="D25" s="5">
        <f>IFERROR(INDEX(Questions!$E$2:$E$999,MATCH(A25,Questions!$A$2:$A$999,0)),0)</f>
        <v/>
      </c>
      <c r="E25" s="5">
        <f>IFERROR(INDEX(Responses!$G$3:$G$999,MATCH($A25,Responses!$D$3:$D$999,0)),"")</f>
        <v/>
      </c>
      <c r="F25" s="5">
        <f>IFERROR(INDEX(Responses!$J$3:$J$999,MATCH($A25,Responses!$D$3:$D$999,0)),"")</f>
        <v/>
      </c>
      <c r="G25" s="5">
        <f>IFERROR(INDEX(Responses!$K$3:$K$999,MATCH($A25,Responses!$D$3:$D$999,0)),"")</f>
        <v/>
      </c>
    </row>
    <row r="26">
      <c r="A26" s="7" t="inlineStr">
        <is>
          <t>WC-02</t>
        </is>
      </c>
      <c r="B26" s="7">
        <f>IFERROR(INDEX(Questions!$B$2:$B$999,MATCH(A26,Questions!$A$2:$A$999,0)),"")</f>
        <v/>
      </c>
      <c r="C26" s="7">
        <f>IFERROR(INDEX(Questions!$C$2:$C$999,MATCH(A26,Questions!$A$2:$A$999,0)),"")</f>
        <v/>
      </c>
      <c r="D26" s="5">
        <f>IFERROR(INDEX(Questions!$E$2:$E$999,MATCH(A26,Questions!$A$2:$A$999,0)),0)</f>
        <v/>
      </c>
      <c r="E26" s="5">
        <f>IFERROR(INDEX(Responses!$G$3:$G$999,MATCH($A26,Responses!$D$3:$D$999,0)),"")</f>
        <v/>
      </c>
      <c r="F26" s="5">
        <f>IFERROR(INDEX(Responses!$J$3:$J$999,MATCH($A26,Responses!$D$3:$D$999,0)),"")</f>
        <v/>
      </c>
      <c r="G26" s="5">
        <f>IFERROR(INDEX(Responses!$K$3:$K$999,MATCH($A26,Responses!$D$3:$D$999,0)),"")</f>
        <v/>
      </c>
    </row>
    <row r="27">
      <c r="A27" s="7" t="inlineStr">
        <is>
          <t>WC-03</t>
        </is>
      </c>
      <c r="B27" s="7">
        <f>IFERROR(INDEX(Questions!$B$2:$B$999,MATCH(A27,Questions!$A$2:$A$999,0)),"")</f>
        <v/>
      </c>
      <c r="C27" s="7">
        <f>IFERROR(INDEX(Questions!$C$2:$C$999,MATCH(A27,Questions!$A$2:$A$999,0)),"")</f>
        <v/>
      </c>
      <c r="D27" s="5">
        <f>IFERROR(INDEX(Questions!$E$2:$E$999,MATCH(A27,Questions!$A$2:$A$999,0)),0)</f>
        <v/>
      </c>
      <c r="E27" s="5">
        <f>IFERROR(INDEX(Responses!$G$3:$G$999,MATCH($A27,Responses!$D$3:$D$999,0)),"")</f>
        <v/>
      </c>
      <c r="F27" s="5">
        <f>IFERROR(INDEX(Responses!$J$3:$J$999,MATCH($A27,Responses!$D$3:$D$999,0)),"")</f>
        <v/>
      </c>
      <c r="G27" s="5">
        <f>IFERROR(INDEX(Responses!$K$3:$K$999,MATCH($A27,Responses!$D$3:$D$999,0)),"")</f>
        <v/>
      </c>
    </row>
    <row r="28">
      <c r="A28" s="7" t="inlineStr">
        <is>
          <t>WC-04</t>
        </is>
      </c>
      <c r="B28" s="7">
        <f>IFERROR(INDEX(Questions!$B$2:$B$999,MATCH(A28,Questions!$A$2:$A$999,0)),"")</f>
        <v/>
      </c>
      <c r="C28" s="7">
        <f>IFERROR(INDEX(Questions!$C$2:$C$999,MATCH(A28,Questions!$A$2:$A$999,0)),"")</f>
        <v/>
      </c>
      <c r="D28" s="5">
        <f>IFERROR(INDEX(Questions!$E$2:$E$999,MATCH(A28,Questions!$A$2:$A$999,0)),0)</f>
        <v/>
      </c>
      <c r="E28" s="5">
        <f>IFERROR(INDEX(Responses!$G$3:$G$999,MATCH($A28,Responses!$D$3:$D$999,0)),"")</f>
        <v/>
      </c>
      <c r="F28" s="5">
        <f>IFERROR(INDEX(Responses!$J$3:$J$999,MATCH($A28,Responses!$D$3:$D$999,0)),"")</f>
        <v/>
      </c>
      <c r="G28" s="5">
        <f>IFERROR(INDEX(Responses!$K$3:$K$999,MATCH($A28,Responses!$D$3:$D$999,0)),"")</f>
        <v/>
      </c>
    </row>
    <row r="29">
      <c r="A29" s="7" t="inlineStr">
        <is>
          <t>WC-05</t>
        </is>
      </c>
      <c r="B29" s="7">
        <f>IFERROR(INDEX(Questions!$B$2:$B$999,MATCH(A29,Questions!$A$2:$A$999,0)),"")</f>
        <v/>
      </c>
      <c r="C29" s="7">
        <f>IFERROR(INDEX(Questions!$C$2:$C$999,MATCH(A29,Questions!$A$2:$A$999,0)),"")</f>
        <v/>
      </c>
      <c r="D29" s="5">
        <f>IFERROR(INDEX(Questions!$E$2:$E$999,MATCH(A29,Questions!$A$2:$A$999,0)),0)</f>
        <v/>
      </c>
      <c r="E29" s="5">
        <f>IFERROR(INDEX(Responses!$G$3:$G$999,MATCH($A29,Responses!$D$3:$D$999,0)),"")</f>
        <v/>
      </c>
      <c r="F29" s="5">
        <f>IFERROR(INDEX(Responses!$J$3:$J$999,MATCH($A29,Responses!$D$3:$D$999,0)),"")</f>
        <v/>
      </c>
      <c r="G29" s="5">
        <f>IFERROR(INDEX(Responses!$K$3:$K$999,MATCH($A29,Responses!$D$3:$D$999,0)),"")</f>
        <v/>
      </c>
    </row>
    <row r="30">
      <c r="A30" s="7" t="inlineStr">
        <is>
          <t>WC-06</t>
        </is>
      </c>
      <c r="B30" s="7">
        <f>IFERROR(INDEX(Questions!$B$2:$B$999,MATCH(A30,Questions!$A$2:$A$999,0)),"")</f>
        <v/>
      </c>
      <c r="C30" s="7">
        <f>IFERROR(INDEX(Questions!$C$2:$C$999,MATCH(A30,Questions!$A$2:$A$999,0)),"")</f>
        <v/>
      </c>
      <c r="D30" s="5">
        <f>IFERROR(INDEX(Questions!$E$2:$E$999,MATCH(A30,Questions!$A$2:$A$999,0)),0)</f>
        <v/>
      </c>
      <c r="E30" s="5">
        <f>IFERROR(INDEX(Responses!$G$3:$G$999,MATCH($A30,Responses!$D$3:$D$999,0)),"")</f>
        <v/>
      </c>
      <c r="F30" s="5">
        <f>IFERROR(INDEX(Responses!$J$3:$J$999,MATCH($A30,Responses!$D$3:$D$999,0)),"")</f>
        <v/>
      </c>
      <c r="G30" s="5">
        <f>IFERROR(INDEX(Responses!$K$3:$K$999,MATCH($A30,Responses!$D$3:$D$999,0)),"")</f>
        <v/>
      </c>
    </row>
    <row r="31">
      <c r="A31" s="7" t="inlineStr">
        <is>
          <t>FL-01</t>
        </is>
      </c>
      <c r="B31" s="7">
        <f>IFERROR(INDEX(Questions!$B$2:$B$999,MATCH(A31,Questions!$A$2:$A$999,0)),"")</f>
        <v/>
      </c>
      <c r="C31" s="7">
        <f>IFERROR(INDEX(Questions!$C$2:$C$999,MATCH(A31,Questions!$A$2:$A$999,0)),"")</f>
        <v/>
      </c>
      <c r="D31" s="5">
        <f>IFERROR(INDEX(Questions!$E$2:$E$999,MATCH(A31,Questions!$A$2:$A$999,0)),0)</f>
        <v/>
      </c>
      <c r="E31" s="5">
        <f>IFERROR(INDEX(Responses!$G$3:$G$999,MATCH($A31,Responses!$D$3:$D$999,0)),"")</f>
        <v/>
      </c>
      <c r="F31" s="5">
        <f>IFERROR(INDEX(Responses!$J$3:$J$999,MATCH($A31,Responses!$D$3:$D$999,0)),"")</f>
        <v/>
      </c>
      <c r="G31" s="5">
        <f>IFERROR(INDEX(Responses!$K$3:$K$999,MATCH($A31,Responses!$D$3:$D$999,0)),"")</f>
        <v/>
      </c>
    </row>
    <row r="32">
      <c r="A32" s="7" t="inlineStr">
        <is>
          <t>FL-02</t>
        </is>
      </c>
      <c r="B32" s="7">
        <f>IFERROR(INDEX(Questions!$B$2:$B$999,MATCH(A32,Questions!$A$2:$A$999,0)),"")</f>
        <v/>
      </c>
      <c r="C32" s="7">
        <f>IFERROR(INDEX(Questions!$C$2:$C$999,MATCH(A32,Questions!$A$2:$A$999,0)),"")</f>
        <v/>
      </c>
      <c r="D32" s="5">
        <f>IFERROR(INDEX(Questions!$E$2:$E$999,MATCH(A32,Questions!$A$2:$A$999,0)),0)</f>
        <v/>
      </c>
      <c r="E32" s="5">
        <f>IFERROR(INDEX(Responses!$G$3:$G$999,MATCH($A32,Responses!$D$3:$D$999,0)),"")</f>
        <v/>
      </c>
      <c r="F32" s="5">
        <f>IFERROR(INDEX(Responses!$J$3:$J$999,MATCH($A32,Responses!$D$3:$D$999,0)),"")</f>
        <v/>
      </c>
      <c r="G32" s="5">
        <f>IFERROR(INDEX(Responses!$K$3:$K$999,MATCH($A32,Responses!$D$3:$D$999,0)),"")</f>
        <v/>
      </c>
    </row>
    <row r="33">
      <c r="A33" s="7" t="inlineStr">
        <is>
          <t>FL-03</t>
        </is>
      </c>
      <c r="B33" s="7">
        <f>IFERROR(INDEX(Questions!$B$2:$B$999,MATCH(A33,Questions!$A$2:$A$999,0)),"")</f>
        <v/>
      </c>
      <c r="C33" s="7">
        <f>IFERROR(INDEX(Questions!$C$2:$C$999,MATCH(A33,Questions!$A$2:$A$999,0)),"")</f>
        <v/>
      </c>
      <c r="D33" s="5">
        <f>IFERROR(INDEX(Questions!$E$2:$E$999,MATCH(A33,Questions!$A$2:$A$999,0)),0)</f>
        <v/>
      </c>
      <c r="E33" s="5">
        <f>IFERROR(INDEX(Responses!$G$3:$G$999,MATCH($A33,Responses!$D$3:$D$999,0)),"")</f>
        <v/>
      </c>
      <c r="F33" s="5">
        <f>IFERROR(INDEX(Responses!$J$3:$J$999,MATCH($A33,Responses!$D$3:$D$999,0)),"")</f>
        <v/>
      </c>
      <c r="G33" s="5">
        <f>IFERROR(INDEX(Responses!$K$3:$K$999,MATCH($A33,Responses!$D$3:$D$999,0)),"")</f>
        <v/>
      </c>
    </row>
    <row r="34">
      <c r="A34" s="7" t="inlineStr">
        <is>
          <t>FL-04</t>
        </is>
      </c>
      <c r="B34" s="7">
        <f>IFERROR(INDEX(Questions!$B$2:$B$999,MATCH(A34,Questions!$A$2:$A$999,0)),"")</f>
        <v/>
      </c>
      <c r="C34" s="7">
        <f>IFERROR(INDEX(Questions!$C$2:$C$999,MATCH(A34,Questions!$A$2:$A$999,0)),"")</f>
        <v/>
      </c>
      <c r="D34" s="5">
        <f>IFERROR(INDEX(Questions!$E$2:$E$999,MATCH(A34,Questions!$A$2:$A$999,0)),0)</f>
        <v/>
      </c>
      <c r="E34" s="5">
        <f>IFERROR(INDEX(Responses!$G$3:$G$999,MATCH($A34,Responses!$D$3:$D$999,0)),"")</f>
        <v/>
      </c>
      <c r="F34" s="5">
        <f>IFERROR(INDEX(Responses!$J$3:$J$999,MATCH($A34,Responses!$D$3:$D$999,0)),"")</f>
        <v/>
      </c>
      <c r="G34" s="5">
        <f>IFERROR(INDEX(Responses!$K$3:$K$999,MATCH($A34,Responses!$D$3:$D$999,0)),"")</f>
        <v/>
      </c>
    </row>
    <row r="35">
      <c r="A35" s="7" t="inlineStr">
        <is>
          <t>FL-05</t>
        </is>
      </c>
      <c r="B35" s="7">
        <f>IFERROR(INDEX(Questions!$B$2:$B$999,MATCH(A35,Questions!$A$2:$A$999,0)),"")</f>
        <v/>
      </c>
      <c r="C35" s="7">
        <f>IFERROR(INDEX(Questions!$C$2:$C$999,MATCH(A35,Questions!$A$2:$A$999,0)),"")</f>
        <v/>
      </c>
      <c r="D35" s="5">
        <f>IFERROR(INDEX(Questions!$E$2:$E$999,MATCH(A35,Questions!$A$2:$A$999,0)),0)</f>
        <v/>
      </c>
      <c r="E35" s="5">
        <f>IFERROR(INDEX(Responses!$G$3:$G$999,MATCH($A35,Responses!$D$3:$D$999,0)),"")</f>
        <v/>
      </c>
      <c r="F35" s="5">
        <f>IFERROR(INDEX(Responses!$J$3:$J$999,MATCH($A35,Responses!$D$3:$D$999,0)),"")</f>
        <v/>
      </c>
      <c r="G35" s="5">
        <f>IFERROR(INDEX(Responses!$K$3:$K$999,MATCH($A35,Responses!$D$3:$D$999,0)),"")</f>
        <v/>
      </c>
    </row>
    <row r="36">
      <c r="A36" s="7" t="inlineStr">
        <is>
          <t>FL-06</t>
        </is>
      </c>
      <c r="B36" s="7">
        <f>IFERROR(INDEX(Questions!$B$2:$B$999,MATCH(A36,Questions!$A$2:$A$999,0)),"")</f>
        <v/>
      </c>
      <c r="C36" s="7">
        <f>IFERROR(INDEX(Questions!$C$2:$C$999,MATCH(A36,Questions!$A$2:$A$999,0)),"")</f>
        <v/>
      </c>
      <c r="D36" s="5">
        <f>IFERROR(INDEX(Questions!$E$2:$E$999,MATCH(A36,Questions!$A$2:$A$999,0)),0)</f>
        <v/>
      </c>
      <c r="E36" s="5">
        <f>IFERROR(INDEX(Responses!$G$3:$G$999,MATCH($A36,Responses!$D$3:$D$999,0)),"")</f>
        <v/>
      </c>
      <c r="F36" s="5">
        <f>IFERROR(INDEX(Responses!$J$3:$J$999,MATCH($A36,Responses!$D$3:$D$999,0)),"")</f>
        <v/>
      </c>
      <c r="G36" s="5">
        <f>IFERROR(INDEX(Responses!$K$3:$K$999,MATCH($A36,Responses!$D$3:$D$999,0)),"")</f>
        <v/>
      </c>
    </row>
    <row r="37">
      <c r="A37" s="7" t="inlineStr">
        <is>
          <t>FL-07</t>
        </is>
      </c>
      <c r="B37" s="7">
        <f>IFERROR(INDEX(Questions!$B$2:$B$999,MATCH(A37,Questions!$A$2:$A$999,0)),"")</f>
        <v/>
      </c>
      <c r="C37" s="7">
        <f>IFERROR(INDEX(Questions!$C$2:$C$999,MATCH(A37,Questions!$A$2:$A$999,0)),"")</f>
        <v/>
      </c>
      <c r="D37" s="5">
        <f>IFERROR(INDEX(Questions!$E$2:$E$999,MATCH(A37,Questions!$A$2:$A$999,0)),0)</f>
        <v/>
      </c>
      <c r="E37" s="5">
        <f>IFERROR(INDEX(Responses!$G$3:$G$999,MATCH($A37,Responses!$D$3:$D$999,0)),"")</f>
        <v/>
      </c>
      <c r="F37" s="5">
        <f>IFERROR(INDEX(Responses!$J$3:$J$999,MATCH($A37,Responses!$D$3:$D$999,0)),"")</f>
        <v/>
      </c>
      <c r="G37" s="5">
        <f>IFERROR(INDEX(Responses!$K$3:$K$999,MATCH($A37,Responses!$D$3:$D$999,0)),"")</f>
        <v/>
      </c>
    </row>
    <row r="38">
      <c r="A38" s="7" t="inlineStr">
        <is>
          <t>FL-08</t>
        </is>
      </c>
      <c r="B38" s="7">
        <f>IFERROR(INDEX(Questions!$B$2:$B$999,MATCH(A38,Questions!$A$2:$A$999,0)),"")</f>
        <v/>
      </c>
      <c r="C38" s="7">
        <f>IFERROR(INDEX(Questions!$C$2:$C$999,MATCH(A38,Questions!$A$2:$A$999,0)),"")</f>
        <v/>
      </c>
      <c r="D38" s="5">
        <f>IFERROR(INDEX(Questions!$E$2:$E$999,MATCH(A38,Questions!$A$2:$A$999,0)),0)</f>
        <v/>
      </c>
      <c r="E38" s="5">
        <f>IFERROR(INDEX(Responses!$G$3:$G$999,MATCH($A38,Responses!$D$3:$D$999,0)),"")</f>
        <v/>
      </c>
      <c r="F38" s="5">
        <f>IFERROR(INDEX(Responses!$J$3:$J$999,MATCH($A38,Responses!$D$3:$D$999,0)),"")</f>
        <v/>
      </c>
      <c r="G38" s="5">
        <f>IFERROR(INDEX(Responses!$K$3:$K$999,MATCH($A38,Responses!$D$3:$D$999,0)),"")</f>
        <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36" customWidth="1" min="3" max="3"/>
    <col width="40" customWidth="1" min="4" max="4"/>
    <col width="42" customWidth="1" min="5" max="5"/>
    <col width="42" customWidth="1" min="6" max="6"/>
    <col width="40" customWidth="1" min="7" max="7"/>
  </cols>
  <sheetData>
    <row r="1">
      <c r="A1" s="1" t="inlineStr">
        <is>
          <t>Risk App – Question Guide &amp; Scoring Intent</t>
        </is>
      </c>
    </row>
    <row r="3">
      <c r="A3" s="2" t="inlineStr">
        <is>
          <t>This worksheet explains the intent behind each question and how to score it. Use this guide to ensure scoring reflects actual practices, not written policies alone.</t>
        </is>
      </c>
    </row>
    <row r="4">
      <c r="A4" t="inlineStr">
        <is>
          <t>Question ID</t>
        </is>
      </c>
      <c r="B4" t="inlineStr">
        <is>
          <t>Pillar</t>
        </is>
      </c>
      <c r="C4" t="inlineStr">
        <is>
          <t>Topic</t>
        </is>
      </c>
      <c r="D4" t="inlineStr">
        <is>
          <t>Why This Matters</t>
        </is>
      </c>
      <c r="E4" t="inlineStr">
        <is>
          <t>What Good Looks Like (High Score)</t>
        </is>
      </c>
      <c r="F4" t="inlineStr">
        <is>
          <t>Common Scoring Pitfalls</t>
        </is>
      </c>
      <c r="G4" t="inlineStr">
        <is>
          <t>Key Scoring Notes</t>
        </is>
      </c>
    </row>
    <row r="5">
      <c r="A5" s="4" t="n"/>
      <c r="B5" s="4" t="n"/>
      <c r="C5" s="4" t="n"/>
      <c r="D5" s="4" t="n"/>
      <c r="E5" s="4" t="n"/>
      <c r="F5" s="4" t="n"/>
      <c r="G5" s="4" t="n"/>
    </row>
    <row r="6">
      <c r="A6" s="7" t="inlineStr">
        <is>
          <t>SAF-01</t>
        </is>
      </c>
      <c r="B6" s="5" t="inlineStr">
        <is>
          <t>Safety</t>
        </is>
      </c>
      <c r="C6" s="7" t="inlineStr">
        <is>
          <t>Policy Review &amp; Leadership</t>
        </is>
      </c>
      <c r="D6" s="7" t="inlineStr">
        <is>
          <t>Measures whether this control actively reduces risk and influences behavior, not just whether a policy or process exists.</t>
        </is>
      </c>
      <c r="E6" s="7" t="inlineStr">
        <is>
          <t>Practices are consistent, documented, owned by leadership or supervisors, and verified through action, follow-up, or outcomes.</t>
        </is>
      </c>
      <c r="F6" s="7" t="inlineStr">
        <is>
          <t>Scoring based on written policy only; assuming responsibility is handled elsewhere; counting infrequent or reactive actions as mature practices.</t>
        </is>
      </c>
      <c r="G6" s="7" t="inlineStr">
        <is>
          <t>Constraint: if not reviewed on a defined interval, cap at 3.</t>
        </is>
      </c>
    </row>
    <row r="7">
      <c r="A7" s="7" t="inlineStr">
        <is>
          <t>SAF-02</t>
        </is>
      </c>
      <c r="B7" s="5" t="inlineStr">
        <is>
          <t>Safety</t>
        </is>
      </c>
      <c r="C7" s="7" t="inlineStr">
        <is>
          <t>Training (Hire + Method + Verification)</t>
        </is>
      </c>
      <c r="D7" s="7" t="inlineStr">
        <is>
          <t>Measures whether this control actively reduces risk and influences behavior, not just whether a policy or process exists.</t>
        </is>
      </c>
      <c r="E7" s="7" t="inlineStr">
        <is>
          <t>Practices are consistent, documented, owned by leadership or supervisors, and verified through action, follow-up, or outcomes.</t>
        </is>
      </c>
      <c r="F7" s="7" t="inlineStr">
        <is>
          <t>Scoring based on written policy only; assuming responsibility is handled elsewhere; counting infrequent or reactive actions as mature practices.</t>
        </is>
      </c>
      <c r="G7" s="7" t="inlineStr">
        <is>
          <t>Constraint: if employees work before training, cap at 2.</t>
        </is>
      </c>
    </row>
    <row r="8">
      <c r="A8" s="7" t="inlineStr">
        <is>
          <t>SAF-03</t>
        </is>
      </c>
      <c r="B8" s="5" t="inlineStr">
        <is>
          <t>Safety</t>
        </is>
      </c>
      <c r="C8" s="7" t="inlineStr">
        <is>
          <t>Incidents &amp; Near-Misses (System Fixes)</t>
        </is>
      </c>
      <c r="D8" s="7" t="inlineStr">
        <is>
          <t>Measures whether this control actively reduces risk and influences behavior, not just whether a policy or process exists.</t>
        </is>
      </c>
      <c r="E8" s="7" t="inlineStr">
        <is>
          <t>Practices are consistent, documented, owned by leadership or supervisors, and verified through action, follow-up, or outcomes.</t>
        </is>
      </c>
      <c r="F8" s="7" t="inlineStr">
        <is>
          <t>Scoring based on written policy only; assuming responsibility is handled elsewhere; counting infrequent or reactive actions as mature practices.</t>
        </is>
      </c>
      <c r="G8" s="7" t="inlineStr">
        <is>
          <t>Constraint: if near-misses not reviewed, cap at 2. If only employee blame, cap at 3.</t>
        </is>
      </c>
    </row>
    <row r="9">
      <c r="A9" s="7" t="inlineStr">
        <is>
          <t>SAF-04</t>
        </is>
      </c>
      <c r="B9" s="5" t="inlineStr">
        <is>
          <t>Safety</t>
        </is>
      </c>
      <c r="C9" s="7" t="inlineStr">
        <is>
          <t>Supervisor Observations &amp; Coaching (System Focus)</t>
        </is>
      </c>
      <c r="D9" s="7" t="inlineStr">
        <is>
          <t>Measures whether this control actively reduces risk and influences behavior, not just whether a policy or process exists.</t>
        </is>
      </c>
      <c r="E9" s="7" t="inlineStr">
        <is>
          <t>Practices are consistent, documented, owned by leadership or supervisors, and verified through action, follow-up, or outcomes.</t>
        </is>
      </c>
      <c r="F9" s="7" t="inlineStr">
        <is>
          <t>Scoring based on written policy only; assuming responsibility is handled elsewhere; counting infrequent or reactive actions as mature practices.</t>
        </is>
      </c>
      <c r="G9" s="7" t="inlineStr">
        <is>
          <t>Constraint: if observations are primarily punitive/behavior-only, cap at 2.</t>
        </is>
      </c>
    </row>
    <row r="10">
      <c r="A10" s="7" t="inlineStr">
        <is>
          <t>SAF-05</t>
        </is>
      </c>
      <c r="B10" s="5" t="inlineStr">
        <is>
          <t>Safety</t>
        </is>
      </c>
      <c r="C10" s="7" t="inlineStr">
        <is>
          <t>Frontline Hazard Reporting (No Fear + Feedback)</t>
        </is>
      </c>
      <c r="D10" s="7" t="inlineStr">
        <is>
          <t>Measures whether this control actively reduces risk and influences behavior, not just whether a policy or process exists.</t>
        </is>
      </c>
      <c r="E10" s="7" t="inlineStr">
        <is>
          <t>Practices are consistent, documented, owned by leadership or supervisors, and verified through action, follow-up, or outcomes.</t>
        </is>
      </c>
      <c r="F10" s="7" t="inlineStr">
        <is>
          <t>Scoring based on written policy only; assuming responsibility is handled elsewhere; counting infrequent or reactive actions as mature practices.</t>
        </is>
      </c>
      <c r="G10" s="7" t="inlineStr">
        <is>
          <t>Constraint: if reporting leads to blame/discipline, cap at 1. If no feedback loop, cap at 3.</t>
        </is>
      </c>
    </row>
    <row r="11">
      <c r="A11" s="7" t="inlineStr">
        <is>
          <t>SAF-06</t>
        </is>
      </c>
      <c r="B11" s="5" t="inlineStr">
        <is>
          <t>Safety</t>
        </is>
      </c>
      <c r="C11" s="7" t="inlineStr">
        <is>
          <t>Management Review &amp; Action (Decisions + Follow-through)</t>
        </is>
      </c>
      <c r="D11" s="7" t="inlineStr">
        <is>
          <t>Measures whether this control actively reduces risk and influences behavior, not just whether a policy or process exists.</t>
        </is>
      </c>
      <c r="E11" s="7" t="inlineStr">
        <is>
          <t>Practices are consistent, documented, owned by leadership or supervisors, and verified through action, follow-up, or outcomes.</t>
        </is>
      </c>
      <c r="F11" s="7" t="inlineStr">
        <is>
          <t>Scoring based on written policy only; assuming responsibility is handled elsewhere; counting infrequent or reactive actions as mature practices.</t>
        </is>
      </c>
      <c r="G11" s="7" t="inlineStr">
        <is>
          <t>Constraint: if lagging-only review, cap at 2. If actions not resourced, cap at 3.</t>
        </is>
      </c>
    </row>
    <row r="12">
      <c r="A12" s="7" t="inlineStr">
        <is>
          <t>WC-01</t>
        </is>
      </c>
      <c r="B12" s="5" t="inlineStr">
        <is>
          <t>WorkersComp</t>
        </is>
      </c>
      <c r="C12" s="7" t="inlineStr">
        <is>
          <t>Injury Reporting Timeliness &amp; Accountability</t>
        </is>
      </c>
      <c r="D12" s="7" t="inlineStr">
        <is>
          <t>Measures whether this control actively reduces risk and influences behavior, not just whether a policy or process exists.</t>
        </is>
      </c>
      <c r="E12" s="7" t="inlineStr">
        <is>
          <t>Practices are consistent, documented, owned by leadership or supervisors, and verified through action, follow-up, or outcomes.</t>
        </is>
      </c>
      <c r="F12" s="7" t="inlineStr">
        <is>
          <t>Scoring based on written policy only; assuming responsibility is handled elsewhere; counting infrequent or reactive actions as mature practices.</t>
        </is>
      </c>
      <c r="G12" s="7" t="inlineStr">
        <is>
          <t>Constraint: delayed reporting that prevents early medical intervention/RTW caps at 2.</t>
        </is>
      </c>
    </row>
    <row r="13">
      <c r="A13" s="7" t="inlineStr">
        <is>
          <t>WC-02</t>
        </is>
      </c>
      <c r="B13" s="5" t="inlineStr">
        <is>
          <t>WorkersComp</t>
        </is>
      </c>
      <c r="C13" s="7" t="inlineStr">
        <is>
          <t>Medical Direction (Clinics + Nurse Triage + Telemedicine)</t>
        </is>
      </c>
      <c r="D13" s="7" t="inlineStr">
        <is>
          <t>Measures whether this control actively reduces risk and influences behavior, not just whether a policy or process exists.</t>
        </is>
      </c>
      <c r="E13" s="7" t="inlineStr">
        <is>
          <t>Practices are consistent, documented, owned by leadership or supervisors, and verified through action, follow-up, or outcomes.</t>
        </is>
      </c>
      <c r="F13" s="7" t="inlineStr">
        <is>
          <t>Scoring based on written policy only; assuming responsibility is handled elsewhere; counting infrequent or reactive actions as mature practices.</t>
        </is>
      </c>
      <c r="G13" s="7" t="inlineStr">
        <is>
          <t>Constraint: if employees choose initial providers without direction, cap at 2. For remote/multi-state, no triage/telemed caps at 3.</t>
        </is>
      </c>
    </row>
    <row r="14">
      <c r="A14" s="7" t="inlineStr">
        <is>
          <t>WC-03</t>
        </is>
      </c>
      <c r="B14" s="5" t="inlineStr">
        <is>
          <t>WorkersComp</t>
        </is>
      </c>
      <c r="C14" s="7" t="inlineStr">
        <is>
          <t>Return-to-Work Execution (Transitional Duty)</t>
        </is>
      </c>
      <c r="D14" s="7" t="inlineStr">
        <is>
          <t>Measures whether this control actively reduces risk and influences behavior, not just whether a policy or process exists.</t>
        </is>
      </c>
      <c r="E14" s="7" t="inlineStr">
        <is>
          <t>Practices are consistent, documented, owned by leadership or supervisors, and verified through action, follow-up, or outcomes.</t>
        </is>
      </c>
      <c r="F14" s="7" t="inlineStr">
        <is>
          <t>Scoring based on written policy only; assuming responsibility is handled elsewhere; counting infrequent or reactive actions as mature practices.</t>
        </is>
      </c>
      <c r="G14" s="7" t="inlineStr">
        <is>
          <t>Constraint: if transitional duty not identified in advance, cap at 3. If supervisors resist restrictions, cap at 2.</t>
        </is>
      </c>
    </row>
    <row r="15">
      <c r="A15" s="7" t="inlineStr">
        <is>
          <t>WC-04</t>
        </is>
      </c>
      <c r="B15" s="5" t="inlineStr">
        <is>
          <t>WorkersComp</t>
        </is>
      </c>
      <c r="C15" s="7" t="inlineStr">
        <is>
          <t>Claim Oversight (Ownership to Closure)</t>
        </is>
      </c>
      <c r="D15" s="7" t="inlineStr">
        <is>
          <t>Measures whether this control actively reduces risk and influences behavior, not just whether a policy or process exists.</t>
        </is>
      </c>
      <c r="E15" s="7" t="inlineStr">
        <is>
          <t>Practices are consistent, documented, owned by leadership or supervisors, and verified through action, follow-up, or outcomes.</t>
        </is>
      </c>
      <c r="F15" s="7" t="inlineStr">
        <is>
          <t>Scoring based on written policy only; assuming responsibility is handled elsewhere; counting infrequent or reactive actions as mature practices.</t>
        </is>
      </c>
      <c r="G15" s="7" t="inlineStr">
        <is>
          <t>Constraint: if no specific internal role follows claims to closure, cap at 2. Renewal-only review caps at 2.</t>
        </is>
      </c>
    </row>
    <row r="16">
      <c r="A16" s="7" t="inlineStr">
        <is>
          <t>WC-05</t>
        </is>
      </c>
      <c r="B16" s="5" t="inlineStr">
        <is>
          <t>WorkersComp</t>
        </is>
      </c>
      <c r="C16" s="7" t="inlineStr">
        <is>
          <t>Claims Review Intervals (Open Claims + Trends + Action)</t>
        </is>
      </c>
      <c r="D16" s="7" t="inlineStr">
        <is>
          <t>Measures whether this control actively reduces risk and influences behavior, not just whether a policy or process exists.</t>
        </is>
      </c>
      <c r="E16" s="7" t="inlineStr">
        <is>
          <t>Practices are consistent, documented, owned by leadership or supervisors, and verified through action, follow-up, or outcomes.</t>
        </is>
      </c>
      <c r="F16" s="7" t="inlineStr">
        <is>
          <t>Scoring based on written policy only; assuming responsibility is handled elsewhere; counting infrequent or reactive actions as mature practices.</t>
        </is>
      </c>
      <c r="G16" s="7" t="inlineStr">
        <is>
          <t>Constraint: renewal-only caps at 2. If open claims not reviewed regularly to drive closure, cap at 3.</t>
        </is>
      </c>
    </row>
    <row r="17">
      <c r="A17" s="7" t="inlineStr">
        <is>
          <t>WC-06</t>
        </is>
      </c>
      <c r="B17" s="5" t="inlineStr">
        <is>
          <t>WorkersComp</t>
        </is>
      </c>
      <c r="C17" s="7" t="inlineStr">
        <is>
          <t>Employee Trust &amp; Check-In Cadence</t>
        </is>
      </c>
      <c r="D17" s="7" t="inlineStr">
        <is>
          <t>Measures whether this control actively reduces risk and influences behavior, not just whether a policy or process exists.</t>
        </is>
      </c>
      <c r="E17" s="7" t="inlineStr">
        <is>
          <t>Practices are consistent, documented, owned by leadership or supervisors, and verified through action, follow-up, or outcomes.</t>
        </is>
      </c>
      <c r="F17" s="7" t="inlineStr">
        <is>
          <t>Scoring based on written policy only; assuming responsibility is handled elsewhere; counting infrequent or reactive actions as mature practices.</t>
        </is>
      </c>
      <c r="G17" s="7" t="inlineStr">
        <is>
          <t>Constraint: if no specific internal role owns check-ins, cap at 2. If no defined cadence, cap at 3.</t>
        </is>
      </c>
    </row>
    <row r="18">
      <c r="A18" s="7" t="inlineStr">
        <is>
          <t>FL-01</t>
        </is>
      </c>
      <c r="B18" s="5" t="inlineStr">
        <is>
          <t>Fleet</t>
        </is>
      </c>
      <c r="C18" s="7" t="inlineStr">
        <is>
          <t>Fleet Safety Policy (Review + Executive Support)</t>
        </is>
      </c>
      <c r="D18" s="7" t="inlineStr">
        <is>
          <t>Measures whether this control actively reduces risk and influences behavior, not just whether a policy or process exists.</t>
        </is>
      </c>
      <c r="E18" s="7" t="inlineStr">
        <is>
          <t>Practices are consistent, documented, owned by leadership or supervisors, and verified through action, follow-up, or outcomes.</t>
        </is>
      </c>
      <c r="F18" s="7" t="inlineStr">
        <is>
          <t>Scoring based on written policy only; assuming responsibility is handled elsewhere; counting infrequent or reactive actions as mature practices.</t>
        </is>
      </c>
      <c r="G18" s="7" t="inlineStr">
        <is>
          <t>Constraint: if not reviewed on a defined interval OR no visible exec support, cap at 3.</t>
        </is>
      </c>
    </row>
    <row r="19">
      <c r="A19" s="7" t="inlineStr">
        <is>
          <t>FL-02</t>
        </is>
      </c>
      <c r="B19" s="5" t="inlineStr">
        <is>
          <t>Fleet</t>
        </is>
      </c>
      <c r="C19" s="7" t="inlineStr">
        <is>
          <t>Driver Qualification + MVR Monitoring (Annual vs Continuous)</t>
        </is>
      </c>
      <c r="D19" s="7" t="inlineStr">
        <is>
          <t>Measures whether this control actively reduces risk and influences behavior, not just whether a policy or process exists.</t>
        </is>
      </c>
      <c r="E19" s="7" t="inlineStr">
        <is>
          <t>Practices are consistent, documented, owned by leadership or supervisors, and verified through action, follow-up, or outcomes.</t>
        </is>
      </c>
      <c r="F19" s="7" t="inlineStr">
        <is>
          <t>Scoring based on written policy only; assuming responsibility is handled elsewhere; counting infrequent or reactive actions as mature practices.</t>
        </is>
      </c>
      <c r="G19" s="7" t="inlineStr">
        <is>
          <t>Constraint: if assumes carrier monitors MVRs, cap at 2. Hire-only/infrequent caps at 2.</t>
        </is>
      </c>
    </row>
    <row r="20">
      <c r="A20" s="7" t="inlineStr">
        <is>
          <t>FL-03</t>
        </is>
      </c>
      <c r="B20" s="5" t="inlineStr">
        <is>
          <t>Fleet</t>
        </is>
      </c>
      <c r="C20" s="7" t="inlineStr">
        <is>
          <t>Driver Training (Condition-Based + Verified)</t>
        </is>
      </c>
      <c r="D20" s="7" t="inlineStr">
        <is>
          <t>Measures whether this control actively reduces risk and influences behavior, not just whether a policy or process exists.</t>
        </is>
      </c>
      <c r="E20" s="7" t="inlineStr">
        <is>
          <t>Practices are consistent, documented, owned by leadership or supervisors, and verified through action, follow-up, or outcomes.</t>
        </is>
      </c>
      <c r="F20" s="7" t="inlineStr">
        <is>
          <t>Scoring based on written policy only; assuming responsibility is handled elsewhere; counting infrequent or reactive actions as mature practices.</t>
        </is>
      </c>
      <c r="G20" s="7" t="inlineStr">
        <is>
          <t>Constraint: if training not adapted to actual conditions/locations, cap at 2. If not verified, cap at 3.</t>
        </is>
      </c>
    </row>
    <row r="21">
      <c r="A21" s="7" t="inlineStr">
        <is>
          <t>FL-04</t>
        </is>
      </c>
      <c r="B21" s="5" t="inlineStr">
        <is>
          <t>Fleet</t>
        </is>
      </c>
      <c r="C21" s="7" t="inlineStr">
        <is>
          <t>Journey Management (Routine + High-Frequency Trips)</t>
        </is>
      </c>
      <c r="D21" s="7" t="inlineStr">
        <is>
          <t>Measures whether this control actively reduces risk and influences behavior, not just whether a policy or process exists.</t>
        </is>
      </c>
      <c r="E21" s="7" t="inlineStr">
        <is>
          <t>Practices are consistent, documented, owned by leadership or supervisors, and verified through action, follow-up, or outcomes.</t>
        </is>
      </c>
      <c r="F21" s="7" t="inlineStr">
        <is>
          <t>Scoring based on written policy only; assuming responsibility is handled elsewhere; counting infrequent or reactive actions as mature practices.</t>
        </is>
      </c>
      <c r="G21" s="7" t="inlineStr">
        <is>
          <t>Constraint: if routine/frequent routes not periodically reassessed, cap at 2.</t>
        </is>
      </c>
    </row>
    <row r="22">
      <c r="A22" s="7" t="inlineStr">
        <is>
          <t>FL-05</t>
        </is>
      </c>
      <c r="B22" s="5" t="inlineStr">
        <is>
          <t>Fleet</t>
        </is>
      </c>
      <c r="C22" s="7" t="inlineStr">
        <is>
          <t>Behavior Monitoring + Intervention (Duty to Act)</t>
        </is>
      </c>
      <c r="D22" s="7" t="inlineStr">
        <is>
          <t>Measures whether this control actively reduces risk and influences behavior, not just whether a policy or process exists.</t>
        </is>
      </c>
      <c r="E22" s="7" t="inlineStr">
        <is>
          <t>Practices are consistent, documented, owned by leadership or supervisors, and verified through action, follow-up, or outcomes.</t>
        </is>
      </c>
      <c r="F22" s="7" t="inlineStr">
        <is>
          <t>Scoring based on written policy only; assuming responsibility is handled elsewhere; counting infrequent or reactive actions as mature practices.</t>
        </is>
      </c>
      <c r="G22" s="7" t="inlineStr">
        <is>
          <t>Constraint: if data collected but not acted upon, cap at 2. Unused data increases legal exposure.</t>
        </is>
      </c>
    </row>
    <row r="23">
      <c r="A23" s="7" t="inlineStr">
        <is>
          <t>FL-06</t>
        </is>
      </c>
      <c r="B23" s="5" t="inlineStr">
        <is>
          <t>Fleet</t>
        </is>
      </c>
      <c r="C23" s="7" t="inlineStr">
        <is>
          <t>Driver Engagement (Reinforcement + Participation)</t>
        </is>
      </c>
      <c r="D23" s="7" t="inlineStr">
        <is>
          <t>Measures whether this control actively reduces risk and influences behavior, not just whether a policy or process exists.</t>
        </is>
      </c>
      <c r="E23" s="7" t="inlineStr">
        <is>
          <t>Practices are consistent, documented, owned by leadership or supervisors, and verified through action, follow-up, or outcomes.</t>
        </is>
      </c>
      <c r="F23" s="7" t="inlineStr">
        <is>
          <t>Scoring based on written policy only; assuming responsibility is handled elsewhere; counting infrequent or reactive actions as mature practices.</t>
        </is>
      </c>
      <c r="G23" s="7" t="inlineStr">
        <is>
          <t>Constraint: if data used only for discipline/surveillance, cap at 2. No positive reinforcement caps at 3.</t>
        </is>
      </c>
    </row>
    <row r="24">
      <c r="A24" s="7" t="inlineStr">
        <is>
          <t>FL-07</t>
        </is>
      </c>
      <c r="B24" s="5" t="inlineStr">
        <is>
          <t>Fleet</t>
        </is>
      </c>
      <c r="C24" s="7" t="inlineStr">
        <is>
          <t>Fleet Incidents + Near-Miss Learning</t>
        </is>
      </c>
      <c r="D24" s="7" t="inlineStr">
        <is>
          <t>Measures whether this control actively reduces risk and influences behavior, not just whether a policy or process exists.</t>
        </is>
      </c>
      <c r="E24" s="7" t="inlineStr">
        <is>
          <t>Practices are consistent, documented, owned by leadership or supervisors, and verified through action, follow-up, or outcomes.</t>
        </is>
      </c>
      <c r="F24" s="7" t="inlineStr">
        <is>
          <t>Scoring based on written policy only; assuming responsibility is handled elsewhere; counting infrequent or reactive actions as mature practices.</t>
        </is>
      </c>
      <c r="G24" s="7" t="inlineStr">
        <is>
          <t>Constraint: if near-misses not reviewed, cap at 2. Driver-fault-only caps at 3.</t>
        </is>
      </c>
    </row>
    <row r="25">
      <c r="A25" s="7" t="inlineStr">
        <is>
          <t>FL-08</t>
        </is>
      </c>
      <c r="B25" s="5" t="inlineStr">
        <is>
          <t>Fleet</t>
        </is>
      </c>
      <c r="C25" s="7" t="inlineStr">
        <is>
          <t>Management Review + Accountability (Fleet)</t>
        </is>
      </c>
      <c r="D25" s="7" t="inlineStr">
        <is>
          <t>Measures whether this control actively reduces risk and influences behavior, not just whether a policy or process exists.</t>
        </is>
      </c>
      <c r="E25" s="7" t="inlineStr">
        <is>
          <t>Practices are consistent, documented, owned by leadership or supervisors, and verified through action, follow-up, or outcomes.</t>
        </is>
      </c>
      <c r="F25" s="7" t="inlineStr">
        <is>
          <t>Scoring based on written policy only; assuming responsibility is handled elsewhere; counting infrequent or reactive actions as mature practices.</t>
        </is>
      </c>
      <c r="G25" s="7" t="inlineStr">
        <is>
          <t>Constraint: if no defined cadence, cap at 2. If accountability diffused, cap at 3.</t>
        </is>
      </c>
    </row>
  </sheetData>
  <mergeCells count="2">
    <mergeCell ref="A3:G3"/>
    <mergeCell ref="A1:G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30" customWidth="1" min="3" max="3"/>
    <col width="90" customWidth="1" min="4" max="4"/>
    <col width="10" customWidth="1" min="5" max="5"/>
  </cols>
  <sheetData>
    <row r="1">
      <c r="A1" s="1" t="inlineStr">
        <is>
          <t>Assessment Questions – Reference View</t>
        </is>
      </c>
    </row>
    <row r="2">
      <c r="A2" t="inlineStr">
        <is>
          <t>Question ID</t>
        </is>
      </c>
      <c r="B2" t="inlineStr">
        <is>
          <t>Pillar</t>
        </is>
      </c>
      <c r="C2" t="inlineStr">
        <is>
          <t>Topic</t>
        </is>
      </c>
      <c r="D2" t="inlineStr">
        <is>
          <t>Full Question</t>
        </is>
      </c>
      <c r="E2" t="inlineStr">
        <is>
          <t>Weight</t>
        </is>
      </c>
    </row>
    <row r="3">
      <c r="A3" s="4" t="n"/>
      <c r="B3" s="4" t="n"/>
      <c r="C3" s="4" t="n"/>
      <c r="D3" s="4" t="n"/>
      <c r="E3" s="4" t="n"/>
    </row>
    <row r="4">
      <c r="A4" s="5" t="inlineStr">
        <is>
          <t>SAF-01</t>
        </is>
      </c>
      <c r="B4" s="5" t="inlineStr">
        <is>
          <t>Safety</t>
        </is>
      </c>
      <c r="C4" s="7" t="inlineStr">
        <is>
          <t>Policy Review &amp; Leadership</t>
        </is>
      </c>
      <c r="D4" s="7" t="inlineStr">
        <is>
          <t>Is there a formal safety policy, how often is it reviewed, and how is executive leadership involved in supporting and enforcing safety expectations?</t>
        </is>
      </c>
      <c r="E4" s="5" t="n">
        <v>0.04</v>
      </c>
    </row>
    <row r="5">
      <c r="A5" s="5" t="inlineStr">
        <is>
          <t>SAF-02</t>
        </is>
      </c>
      <c r="B5" s="5" t="inlineStr">
        <is>
          <t>Safety</t>
        </is>
      </c>
      <c r="C5" s="7" t="inlineStr">
        <is>
          <t>Training (Hire + Method + Verification)</t>
        </is>
      </c>
      <c r="D5" s="7" t="inlineStr">
        <is>
          <t>At what point do employees receive safety training, how often is it conducted, by what methods, and how is understanding or competency verified?</t>
        </is>
      </c>
      <c r="E5" s="5" t="n">
        <v>0.08</v>
      </c>
    </row>
    <row r="6">
      <c r="A6" s="5" t="inlineStr">
        <is>
          <t>SAF-03</t>
        </is>
      </c>
      <c r="B6" s="5" t="inlineStr">
        <is>
          <t>Safety</t>
        </is>
      </c>
      <c r="C6" s="7" t="inlineStr">
        <is>
          <t>Incidents &amp; Near-Misses (System Fixes)</t>
        </is>
      </c>
      <c r="D6" s="7" t="inlineStr">
        <is>
          <t>How are safety incidents and near-misses investigated, how are deficiencies in safety management systems identified, and how are those deficiencies corrected?</t>
        </is>
      </c>
      <c r="E6" s="5" t="n">
        <v>0.06</v>
      </c>
    </row>
    <row r="7">
      <c r="A7" s="5" t="inlineStr">
        <is>
          <t>SAF-04</t>
        </is>
      </c>
      <c r="B7" s="5" t="inlineStr">
        <is>
          <t>Safety</t>
        </is>
      </c>
      <c r="C7" s="7" t="inlineStr">
        <is>
          <t>Supervisor Observations &amp; Coaching (System Focus)</t>
        </is>
      </c>
      <c r="D7" s="7" t="inlineStr">
        <is>
          <t>How do supervisors conduct safety observations, provide coaching, and address system-level contributors rather than placing blame solely on employees?</t>
        </is>
      </c>
      <c r="E7" s="5" t="n">
        <v>0.08</v>
      </c>
    </row>
    <row r="8">
      <c r="A8" s="5" t="inlineStr">
        <is>
          <t>SAF-05</t>
        </is>
      </c>
      <c r="B8" s="5" t="inlineStr">
        <is>
          <t>Safety</t>
        </is>
      </c>
      <c r="C8" s="7" t="inlineStr">
        <is>
          <t>Frontline Hazard Reporting (No Fear + Feedback)</t>
        </is>
      </c>
      <c r="D8" s="7" t="inlineStr">
        <is>
          <t>How do frontline employees report hazards and unsafe conditions without fear of reprisal, and how are those reports tracked, addressed, and communicated back?</t>
        </is>
      </c>
      <c r="E8" s="5" t="n">
        <v>0.08</v>
      </c>
    </row>
    <row r="9">
      <c r="A9" s="5" t="inlineStr">
        <is>
          <t>SAF-06</t>
        </is>
      </c>
      <c r="B9" s="5" t="inlineStr">
        <is>
          <t>Safety</t>
        </is>
      </c>
      <c r="C9" s="7" t="inlineStr">
        <is>
          <t>Management Review &amp; Action (Decisions + Follow-through)</t>
        </is>
      </c>
      <c r="D9" s="7" t="inlineStr">
        <is>
          <t>How does management review safety performance, what decisions are made as a result, and how is follow-through verified?</t>
        </is>
      </c>
      <c r="E9" s="5" t="n">
        <v>0.06</v>
      </c>
    </row>
    <row r="10">
      <c r="A10" s="5" t="inlineStr">
        <is>
          <t>WC-01</t>
        </is>
      </c>
      <c r="B10" s="5" t="inlineStr">
        <is>
          <t>WorkersComp</t>
        </is>
      </c>
      <c r="C10" s="7" t="inlineStr">
        <is>
          <t>Injury Reporting Timeliness &amp; Accountability</t>
        </is>
      </c>
      <c r="D10" s="7" t="inlineStr">
        <is>
          <t>How are work-related injuries reported, who is responsible for reporting, and how is timely reporting enforced to preserve medical-only and return-to-work outcomes?</t>
        </is>
      </c>
      <c r="E10" s="5" t="n">
        <v>0.04</v>
      </c>
    </row>
    <row r="11">
      <c r="A11" s="5" t="inlineStr">
        <is>
          <t>WC-02</t>
        </is>
      </c>
      <c r="B11" s="5" t="inlineStr">
        <is>
          <t>WorkersComp</t>
        </is>
      </c>
      <c r="C11" s="7" t="inlineStr">
        <is>
          <t>Medical Direction (Clinics + Nurse Triage + Telemedicine)</t>
        </is>
      </c>
      <c r="D11" s="7" t="inlineStr">
        <is>
          <t>How is medical care directed following an injury, including use of nurse triage, telemedicine, and vetted occupational medical providers?</t>
        </is>
      </c>
      <c r="E11" s="5" t="n">
        <v>0.04</v>
      </c>
    </row>
    <row r="12">
      <c r="A12" s="5" t="inlineStr">
        <is>
          <t>WC-03</t>
        </is>
      </c>
      <c r="B12" s="5" t="inlineStr">
        <is>
          <t>WorkersComp</t>
        </is>
      </c>
      <c r="C12" s="7" t="inlineStr">
        <is>
          <t>Return-to-Work Execution (Transitional Duty)</t>
        </is>
      </c>
      <c r="D12" s="7" t="inlineStr">
        <is>
          <t>How does the organization implement and manage return-to-work or transitional duty to reduce lost time and support recovery?</t>
        </is>
      </c>
      <c r="E12" s="5" t="n">
        <v>0.04</v>
      </c>
    </row>
    <row r="13">
      <c r="A13" s="5" t="inlineStr">
        <is>
          <t>WC-04</t>
        </is>
      </c>
      <c r="B13" s="5" t="inlineStr">
        <is>
          <t>WorkersComp</t>
        </is>
      </c>
      <c r="C13" s="7" t="inlineStr">
        <is>
          <t>Claim Oversight (Ownership to Closure)</t>
        </is>
      </c>
      <c r="D13" s="7" t="inlineStr">
        <is>
          <t>Who is responsible for managing workers’ compensation claims from initial report through closure, and how is progress monitored?</t>
        </is>
      </c>
      <c r="E13" s="5" t="n">
        <v>0.03</v>
      </c>
    </row>
    <row r="14">
      <c r="A14" s="5" t="inlineStr">
        <is>
          <t>WC-05</t>
        </is>
      </c>
      <c r="B14" s="5" t="inlineStr">
        <is>
          <t>WorkersComp</t>
        </is>
      </c>
      <c r="C14" s="7" t="inlineStr">
        <is>
          <t>Claims Review Intervals (Open Claims + Trends + Action)</t>
        </is>
      </c>
      <c r="D14" s="7" t="inlineStr">
        <is>
          <t>At what intervals are workers’ compensation claims reviewed, and how are open claims, trends, and corrective actions tracked?</t>
        </is>
      </c>
      <c r="E14" s="5" t="n">
        <v>0.03</v>
      </c>
    </row>
    <row r="15">
      <c r="A15" s="5" t="inlineStr">
        <is>
          <t>WC-06</t>
        </is>
      </c>
      <c r="B15" s="5" t="inlineStr">
        <is>
          <t>WorkersComp</t>
        </is>
      </c>
      <c r="C15" s="7" t="inlineStr">
        <is>
          <t>Employee Trust &amp; Check-In Cadence</t>
        </is>
      </c>
      <c r="D15" s="7" t="inlineStr">
        <is>
          <t>Who maintains contact with injured employees, how often do check-ins occur, and how is trust maintained throughout the claim?</t>
        </is>
      </c>
      <c r="E15" s="5" t="n">
        <v>0.02</v>
      </c>
    </row>
    <row r="16">
      <c r="A16" s="5" t="inlineStr">
        <is>
          <t>FL-01</t>
        </is>
      </c>
      <c r="B16" s="5" t="inlineStr">
        <is>
          <t>Fleet</t>
        </is>
      </c>
      <c r="C16" s="7" t="inlineStr">
        <is>
          <t>Fleet Safety Policy (Review + Executive Support)</t>
        </is>
      </c>
      <c r="D16" s="7" t="inlineStr">
        <is>
          <t>Is there a formal fleet safety policy, how often is it reviewed, and how is executive leadership involved in supporting and enforcing fleet safety expectations?</t>
        </is>
      </c>
      <c r="E16" s="5" t="n">
        <v>0.05</v>
      </c>
    </row>
    <row r="17">
      <c r="A17" s="5" t="inlineStr">
        <is>
          <t>FL-02</t>
        </is>
      </c>
      <c r="B17" s="5" t="inlineStr">
        <is>
          <t>Fleet</t>
        </is>
      </c>
      <c r="C17" s="7" t="inlineStr">
        <is>
          <t>Driver Qualification + MVR Monitoring (Annual vs Continuous)</t>
        </is>
      </c>
      <c r="D17" s="7" t="inlineStr">
        <is>
          <t>How are drivers qualified and authorized, how are motor vehicle records monitored (annually or continuously), and how are changes in driver risk addressed?</t>
        </is>
      </c>
      <c r="E17" s="5" t="n">
        <v>0.08</v>
      </c>
    </row>
    <row r="18">
      <c r="A18" s="5" t="inlineStr">
        <is>
          <t>FL-03</t>
        </is>
      </c>
      <c r="B18" s="5" t="inlineStr">
        <is>
          <t>Fleet</t>
        </is>
      </c>
      <c r="C18" s="7" t="inlineStr">
        <is>
          <t>Driver Training (Condition-Based + Verified)</t>
        </is>
      </c>
      <c r="D18" s="7" t="inlineStr">
        <is>
          <t>How are drivers trained and coached, how often does training occur, how is it verified, and how is training adapted to the driving conditions and locations drivers encounter?</t>
        </is>
      </c>
      <c r="E18" s="5" t="n">
        <v>0.06</v>
      </c>
    </row>
    <row r="19">
      <c r="A19" s="5" t="inlineStr">
        <is>
          <t>FL-04</t>
        </is>
      </c>
      <c r="B19" s="5" t="inlineStr">
        <is>
          <t>Fleet</t>
        </is>
      </c>
      <c r="C19" s="7" t="inlineStr">
        <is>
          <t>Journey Management (Routine + High-Frequency Trips)</t>
        </is>
      </c>
      <c r="D19" s="7" t="inlineStr">
        <is>
          <t>How are work-related driving journeys—including routine and frequently traveled routes—evaluated for risk, and how are high-risk trips mitigated or avoided?</t>
        </is>
      </c>
      <c r="E19" s="5" t="n">
        <v>0.07000000000000001</v>
      </c>
    </row>
    <row r="20">
      <c r="A20" s="5" t="inlineStr">
        <is>
          <t>FL-05</t>
        </is>
      </c>
      <c r="B20" s="5" t="inlineStr">
        <is>
          <t>Fleet</t>
        </is>
      </c>
      <c r="C20" s="7" t="inlineStr">
        <is>
          <t>Behavior Monitoring + Intervention (Duty to Act)</t>
        </is>
      </c>
      <c r="D20" s="7" t="inlineStr">
        <is>
          <t>How is driver behavior monitored, who reviews driving data, and how are coaching or corrective actions taken to address risk?</t>
        </is>
      </c>
      <c r="E20" s="5" t="n">
        <v>0.07000000000000001</v>
      </c>
    </row>
    <row r="21">
      <c r="A21" s="5" t="inlineStr">
        <is>
          <t>FL-06</t>
        </is>
      </c>
      <c r="B21" s="5" t="inlineStr">
        <is>
          <t>Fleet</t>
        </is>
      </c>
      <c r="C21" s="7" t="inlineStr">
        <is>
          <t>Driver Engagement (Reinforcement + Participation)</t>
        </is>
      </c>
      <c r="D21" s="7" t="inlineStr">
        <is>
          <t>How are drivers actively engaged in fleet safety, including positive reinforcement, participation initiatives, and safe reporting of concerns?</t>
        </is>
      </c>
      <c r="E21" s="5" t="n">
        <v>0.04</v>
      </c>
    </row>
    <row r="22">
      <c r="A22" s="5" t="inlineStr">
        <is>
          <t>FL-07</t>
        </is>
      </c>
      <c r="B22" s="5" t="inlineStr">
        <is>
          <t>Fleet</t>
        </is>
      </c>
      <c r="C22" s="7" t="inlineStr">
        <is>
          <t>Fleet Incidents + Near-Miss Learning</t>
        </is>
      </c>
      <c r="D22" s="7" t="inlineStr">
        <is>
          <t>How are fleet incidents and near-misses reported, investigated, and used to improve training, journey planning, or fleet controls?</t>
        </is>
      </c>
      <c r="E22" s="5" t="n">
        <v>0.02</v>
      </c>
    </row>
    <row r="23">
      <c r="A23" s="5" t="inlineStr">
        <is>
          <t>FL-08</t>
        </is>
      </c>
      <c r="B23" s="5" t="inlineStr">
        <is>
          <t>Fleet</t>
        </is>
      </c>
      <c r="C23" s="7" t="inlineStr">
        <is>
          <t>Management Review + Accountability (Fleet)</t>
        </is>
      </c>
      <c r="D23" s="7" t="inlineStr">
        <is>
          <t>How does leadership review fleet risk performance, assign accountability, and take action based on fleet risk metrics?</t>
        </is>
      </c>
      <c r="E23" s="5" t="n">
        <v>0.01</v>
      </c>
    </row>
  </sheetData>
  <mergeCells count="1">
    <mergeCell ref="A1:E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5"/>
  <sheetViews>
    <sheetView workbookViewId="0">
      <pane ySplit="5" topLeftCell="A6" activePane="bottomLeft" state="frozen"/>
      <selection pane="bottomLeft" activeCell="A1" sqref="A1"/>
    </sheetView>
  </sheetViews>
  <sheetFormatPr baseColWidth="8" defaultRowHeight="15"/>
  <cols>
    <col width="20" customWidth="1" min="1" max="1"/>
    <col width="48" customWidth="1" min="2" max="2"/>
    <col width="48" customWidth="1" min="3" max="3"/>
    <col width="48" customWidth="1" min="4" max="4"/>
    <col width="48" customWidth="1" min="5" max="5"/>
  </cols>
  <sheetData>
    <row r="1">
      <c r="A1" s="1" t="inlineStr">
        <is>
          <t>Risk Score Interpretation &amp; Action Guidance</t>
        </is>
      </c>
    </row>
    <row r="3">
      <c r="A3" s="2" t="inlineStr">
        <is>
          <t>This page explains what overall and pillar scores indicate about an organization’s risk posture and provides guidance on where to focus corrective action.</t>
        </is>
      </c>
    </row>
    <row r="4">
      <c r="A4" t="inlineStr">
        <is>
          <t>Score Range</t>
        </is>
      </c>
      <c r="B4" t="inlineStr">
        <is>
          <t>Rating</t>
        </is>
      </c>
      <c r="C4" t="inlineStr">
        <is>
          <t>What This Means</t>
        </is>
      </c>
      <c r="D4" t="inlineStr">
        <is>
          <t>Primary Risk Signal</t>
        </is>
      </c>
      <c r="E4" t="inlineStr">
        <is>
          <t>Recommended Focus</t>
        </is>
      </c>
    </row>
    <row r="5">
      <c r="A5" s="4" t="n"/>
      <c r="B5" s="4" t="n"/>
      <c r="C5" s="4" t="n"/>
      <c r="D5" s="4" t="n"/>
      <c r="E5" s="4" t="n"/>
    </row>
    <row r="6">
      <c r="A6" s="5" t="inlineStr">
        <is>
          <t>0–54</t>
        </is>
      </c>
      <c r="B6" s="5" t="inlineStr">
        <is>
          <t>High Risk</t>
        </is>
      </c>
      <c r="C6" s="7" t="inlineStr">
        <is>
          <t>Controls are largely reactive or missing. Risk is unmanaged and loss severity potential is high.</t>
        </is>
      </c>
      <c r="D6" s="7" t="inlineStr">
        <is>
          <t>Lack of leading indicators, unclear ownership, delayed action.</t>
        </is>
      </c>
      <c r="E6" s="7" t="inlineStr">
        <is>
          <t>Establish basic controls, assign ownership, and implement immediate leading-indicator actions.</t>
        </is>
      </c>
    </row>
    <row r="7">
      <c r="A7" s="5" t="inlineStr">
        <is>
          <t>55–69</t>
        </is>
      </c>
      <c r="B7" s="5" t="inlineStr">
        <is>
          <t>Elevated Risk</t>
        </is>
      </c>
      <c r="C7" s="7" t="inlineStr">
        <is>
          <t>Some controls exist but are inconsistent or poorly enforced.</t>
        </is>
      </c>
      <c r="D7" s="7" t="inlineStr">
        <is>
          <t>Paper programs without behavioral execution; gaps between policy and practice.</t>
        </is>
      </c>
      <c r="E7" s="7" t="inlineStr">
        <is>
          <t>Stabilize fundamentals, verify training and supervision, close known gaps.</t>
        </is>
      </c>
    </row>
    <row r="8">
      <c r="A8" s="5" t="inlineStr">
        <is>
          <t>70–84</t>
        </is>
      </c>
      <c r="B8" s="5" t="inlineStr">
        <is>
          <t>Moderate Risk</t>
        </is>
      </c>
      <c r="C8" s="7" t="inlineStr">
        <is>
          <t>Core systems are in place and functioning but lack consistency or depth.</t>
        </is>
      </c>
      <c r="D8" s="7" t="inlineStr">
        <is>
          <t>Risk is managed but vulnerable to drift or localized failure.</t>
        </is>
      </c>
      <c r="E8" s="7" t="inlineStr">
        <is>
          <t>Strengthen verification, coaching, and management review cadence.</t>
        </is>
      </c>
    </row>
    <row r="9">
      <c r="A9" s="5" t="inlineStr">
        <is>
          <t>85–100</t>
        </is>
      </c>
      <c r="B9" s="5" t="inlineStr">
        <is>
          <t>Strong / Low Risk</t>
        </is>
      </c>
      <c r="C9" s="7" t="inlineStr">
        <is>
          <t>Controls are proactive, owned, and verified. Risk is actively managed.</t>
        </is>
      </c>
      <c r="D9" s="7" t="inlineStr">
        <is>
          <t>Strong leading indicators and leadership engagement.</t>
        </is>
      </c>
      <c r="E9" s="7" t="inlineStr">
        <is>
          <t>Maintain discipline, refine based on trends, and share best practices.</t>
        </is>
      </c>
    </row>
    <row r="11">
      <c r="A11" s="3" t="inlineStr">
        <is>
          <t>Pillar-Level Interpretation</t>
        </is>
      </c>
    </row>
    <row r="12">
      <c r="A12" s="4" t="inlineStr">
        <is>
          <t>Pillar</t>
        </is>
      </c>
      <c r="B12" s="4" t="inlineStr">
        <is>
          <t>What a Low Score Usually Indicates</t>
        </is>
      </c>
      <c r="C12" s="4" t="inlineStr">
        <is>
          <t>Common Root Causes</t>
        </is>
      </c>
      <c r="D12" s="4" t="inlineStr">
        <is>
          <t>Priority Actions</t>
        </is>
      </c>
    </row>
    <row r="13">
      <c r="A13" s="7" t="inlineStr">
        <is>
          <t>Safety / Injury Prevention</t>
        </is>
      </c>
      <c r="B13" s="7" t="inlineStr">
        <is>
          <t>Weak frontline controls and inconsistent supervision.</t>
        </is>
      </c>
      <c r="C13" s="7" t="inlineStr">
        <is>
          <t>Training gaps, blame-focused investigations, poor hazard reporting culture.</t>
        </is>
      </c>
      <c r="D13" s="7" t="inlineStr">
        <is>
          <t>Focus on supervisor engagement, frontline reporting, and system-level fixes.</t>
        </is>
      </c>
    </row>
    <row r="14">
      <c r="A14" s="7" t="inlineStr">
        <is>
          <t>Workers’ Compensation Execution</t>
        </is>
      </c>
      <c r="B14" s="7" t="inlineStr">
        <is>
          <t>Delayed reporting and poor claim ownership.</t>
        </is>
      </c>
      <c r="C14" s="7" t="inlineStr">
        <is>
          <t>Unclear responsibilities, weak RTW, limited medical direction.</t>
        </is>
      </c>
      <c r="D14" s="7" t="inlineStr">
        <is>
          <t>Tighten reporting timelines, assign claim owners, and formalize RTW.</t>
        </is>
      </c>
    </row>
    <row r="15">
      <c r="A15" s="7" t="inlineStr">
        <is>
          <t>Fleet Safety</t>
        </is>
      </c>
      <c r="B15" s="7" t="inlineStr">
        <is>
          <t>High exposure to catastrophic loss.</t>
        </is>
      </c>
      <c r="C15" s="7" t="inlineStr">
        <is>
          <t>Unmonitored drivers, ignored telematics data, unmanaged journey risk.</t>
        </is>
      </c>
      <c r="D15" s="7" t="inlineStr">
        <is>
          <t>Implement journey management, enforce driver qualification, act on driving data.</t>
        </is>
      </c>
    </row>
  </sheetData>
  <mergeCells count="2">
    <mergeCell ref="A1:E1"/>
    <mergeCell ref="A3:E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sheetPr>
  <dimension ref="A1:F35"/>
  <sheetViews>
    <sheetView workbookViewId="0">
      <pane ySplit="11" topLeftCell="A12"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1" t="inlineStr">
        <is>
          <t>Executive Risk Narrative Generator</t>
        </is>
      </c>
    </row>
    <row r="3">
      <c r="A3" s="2" t="inlineStr">
        <is>
          <t>This narrative is auto-generated based on the assessment score and is intended for use in executive summaries, underwriting submissions, and renewal discussions.</t>
        </is>
      </c>
    </row>
    <row r="4"/>
    <row r="6">
      <c r="A6" s="3" t="inlineStr">
        <is>
          <t>Inputs</t>
        </is>
      </c>
    </row>
    <row r="7">
      <c r="A7" s="9" t="inlineStr">
        <is>
          <t>Overall Score</t>
        </is>
      </c>
      <c r="B7" s="5">
        <f>Summary!B8</f>
        <v/>
      </c>
    </row>
    <row r="8">
      <c r="A8" s="9" t="inlineStr">
        <is>
          <t>Overall Rating</t>
        </is>
      </c>
      <c r="B8" s="5">
        <f>Summary!B9</f>
        <v/>
      </c>
    </row>
    <row r="9">
      <c r="A9" s="9" t="inlineStr">
        <is>
          <t>Primary Weak Pillar (if applicable)</t>
        </is>
      </c>
      <c r="B9" s="5">
        <f>IFERROR(INDEX(Summary!A13:A15,MATCH(MIN(Summary!B13:B15),Summary!B13:B15,0)),"")</f>
        <v/>
      </c>
    </row>
    <row r="11">
      <c r="A11" s="3" t="inlineStr">
        <is>
          <t>Generated Executive Narrative</t>
        </is>
      </c>
    </row>
    <row r="12">
      <c r="A12" s="10">
        <f>IF(B7="", "", IF(B7&gt;=85, "Based on the results of the risk assessment, this organization demonstrates a disciplined and proactive approach to managing operational safety, workers’ compensation, and fleet exposure. Core risk controls are clearly defined, actively executed, and supported by leadership. The assessment indicates that risk management practices extend beyond written programs and are reinforced through verified training, supervisor engagement, and ongoing review of leading indicators. Overall, the organization presents as a well-managed risk with mature controls and a stable loss prevention posture suitable for favorable underwriting consideration.", IF(B7&gt;=70, "The assessment indicates that core risk management controls are in place and functioning across safety, workers’ compensation, and fleet operations. Execution is generally consistent, with opportunities to strengthen verification and trend-based intervention. The organization demonstrates positive momentum and a commitment to continuous improvement, positioning the account as a stable risk with improving discipline and direction.", IF(B7&gt;=55, "The assessment reflects foundational risk management programs with partial execution across operations. While policies and processes are established, consistency and follow-through vary by function or location. The organization has identified these gaps and is focused on improving supervisor engagement, strengthening leading indicators, and reinforcing accountability to enhance overall risk performance.", "The assessment identified several areas where risk controls are not yet consistently executed or verified. These gaps relate primarily to ownership clarity, timing of training and intervention, and consistency of application across operations. In response, the organization is implementing a structured improvement approach focused on strengthening leading indicators, assigning accountability, and demonstrating measurable progress over the upcoming policy period." )))</f>
        <v/>
      </c>
      <c r="B12" s="17" t="n"/>
      <c r="C12" s="17" t="n"/>
      <c r="D12" s="17" t="n"/>
      <c r="E12" s="17" t="n"/>
      <c r="F12" s="18" t="n"/>
    </row>
    <row r="13">
      <c r="A13" s="19" t="n"/>
      <c r="F13" s="20" t="n"/>
    </row>
    <row r="14">
      <c r="A14" s="19" t="n"/>
      <c r="F14" s="20" t="n"/>
    </row>
    <row r="15">
      <c r="A15" s="19" t="n"/>
      <c r="F15" s="20" t="n"/>
    </row>
    <row r="16">
      <c r="A16" s="19" t="n"/>
      <c r="F16" s="20" t="n"/>
    </row>
    <row r="17">
      <c r="A17" s="19" t="n"/>
      <c r="F17" s="20" t="n"/>
    </row>
    <row r="18">
      <c r="A18" s="19" t="n"/>
      <c r="F18" s="20" t="n"/>
    </row>
    <row r="19">
      <c r="A19" s="19" t="n"/>
      <c r="F19" s="20" t="n"/>
    </row>
    <row r="20">
      <c r="A20" s="21" t="n"/>
      <c r="B20" s="22" t="n"/>
      <c r="C20" s="22" t="n"/>
      <c r="D20" s="22" t="n"/>
      <c r="E20" s="22" t="n"/>
      <c r="F20" s="23" t="n"/>
    </row>
    <row r="22">
      <c r="A22" s="10">
        <f>IF(B9="", "", "Primary improvement focus has been identified within the " &amp; B9 &amp; " pillar, where targeted actions are being implemented to improve execution, oversight, and consistency. Progress in this area is expected to strengthen overall risk performance and further support underwriting confidence.")</f>
        <v/>
      </c>
      <c r="B22" s="17" t="n"/>
      <c r="C22" s="17" t="n"/>
      <c r="D22" s="17" t="n"/>
      <c r="E22" s="17" t="n"/>
      <c r="F22" s="18" t="n"/>
    </row>
    <row r="23">
      <c r="A23" s="19" t="n"/>
      <c r="F23" s="20" t="n"/>
    </row>
    <row r="24">
      <c r="A24" s="19" t="n"/>
      <c r="F24" s="20" t="n"/>
    </row>
    <row r="25">
      <c r="A25" s="19" t="n"/>
      <c r="F25" s="20" t="n"/>
    </row>
    <row r="26">
      <c r="A26" s="19" t="n"/>
      <c r="F26" s="20" t="n"/>
    </row>
    <row r="27">
      <c r="A27" s="21" t="n"/>
      <c r="B27" s="22" t="n"/>
      <c r="C27" s="22" t="n"/>
      <c r="D27" s="22" t="n"/>
      <c r="E27" s="22" t="n"/>
      <c r="F27" s="23" t="n"/>
    </row>
    <row r="30">
      <c r="A30" t="inlineStr">
        <is>
          <t>Subcontractor Risk Narrative</t>
        </is>
      </c>
      <c r="B30">
        <f>IF(Subcontractor_SubScore!C3&lt;=2,"Subcontractor insurance coverage continuity presents a material upstream risk. Active monitoring and lapse detection must be implemented to stabilize risk transfer before submission.",IF(Subcontractor_SubScore!E6&gt;=4,"Subcontractor safety and risk transfer controls are well-integrated, reducing downstream loss volatility and improving carrier confidence.","Subcontractor safety controls are partially implemented; targeted improvements in oversight, insurance verification, or contractual alignment will strengthen the risk profile."))</f>
        <v/>
      </c>
    </row>
    <row r="32">
      <c r="A32" t="inlineStr">
        <is>
          <t>Action Register Summary</t>
        </is>
      </c>
      <c r="B32">
        <f>IFERROR("Open Actions: "&amp;COUNTIF(Action_Register!O:O,"Open")&amp;" | Verified: "&amp;COUNTIF(Action_Register!O:O,"Verified")&amp;" | Closed: "&amp;COUNTIF(Action_Register!O:O,"Closed"),"")</f>
        <v/>
      </c>
    </row>
    <row r="33">
      <c r="A33" t="inlineStr">
        <is>
          <t>Action Register Exceptions</t>
        </is>
      </c>
      <c r="B33">
        <f>IFERROR("Blocked Closures: "&amp;COUNTIF(Action_Register!AE:AE,"BLOCKED")&amp;" | Validator Role Checks: "&amp;COUNTIF(Action_Register!AF:AF,"CHECK"),"")</f>
        <v/>
      </c>
    </row>
    <row r="34">
      <c r="A34" t="inlineStr">
        <is>
          <t>Outcome Tracking Summary</t>
        </is>
      </c>
      <c r="B34">
        <f>IFERROR("Most Recent Loss Ratio: "&amp;TEXT(LOOKUP(2,1/(Outcome_Tracking!K:K&lt;&gt;""),Outcome_Tracking!K:K),"0.00%")&amp;" | Trend: "&amp;LOOKUP(2,1/(Outcome_Tracking!M:M&lt;&gt;""),Outcome_Tracking!M:M),"")</f>
        <v/>
      </c>
    </row>
    <row r="35">
      <c r="A35" t="inlineStr">
        <is>
          <t>Execution Momentum</t>
        </is>
      </c>
      <c r="B35">
        <f>IFERROR("Actions Closed Since Last Checkpoint: "&amp;LOOKUP(2,1/(Outcome_Tracking!Q:Q&lt;&gt;""),Outcome_Tracking!Q:Q),"")</f>
        <v/>
      </c>
    </row>
  </sheetData>
  <mergeCells count="4">
    <mergeCell ref="A22:F27"/>
    <mergeCell ref="A3:F4"/>
    <mergeCell ref="A1:F1"/>
    <mergeCell ref="A12:F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Sub-Control</t>
        </is>
      </c>
      <c r="B1" t="inlineStr">
        <is>
          <t>Description</t>
        </is>
      </c>
      <c r="C1" t="inlineStr">
        <is>
          <t>Score (1-5)</t>
        </is>
      </c>
      <c r="D1" t="inlineStr">
        <is>
          <t>Weight</t>
        </is>
      </c>
      <c r="E1" t="inlineStr">
        <is>
          <t>Weighted Score</t>
        </is>
      </c>
    </row>
    <row r="2">
      <c r="A2" t="inlineStr">
        <is>
          <t>Safety Training &amp; Oversight</t>
        </is>
      </c>
      <c r="B2" t="inlineStr">
        <is>
          <t>Subs must bring their own safety program AND comply with company rules; includes orientation, audits, enforcement.</t>
        </is>
      </c>
      <c r="D2" t="n">
        <v>0.3</v>
      </c>
      <c r="E2">
        <f>C2*D2</f>
        <v/>
      </c>
    </row>
    <row r="3">
      <c r="A3" t="inlineStr">
        <is>
          <t>Ongoing Insurance Verification</t>
        </is>
      </c>
      <c r="B3" t="inlineStr">
        <is>
          <t>Insurance verified continuously; lapses detected and escalated.</t>
        </is>
      </c>
      <c r="D3" t="n">
        <v>0.4</v>
      </c>
      <c r="E3">
        <f>C3*D3</f>
        <v/>
      </c>
    </row>
    <row r="4">
      <c r="A4" t="inlineStr">
        <is>
          <t>Coverage &amp; Contract Integrity</t>
        </is>
      </c>
      <c r="B4" t="inlineStr">
        <is>
          <t>AI status, primary &amp; non-contributory, indemnity alignment, exclusion review.</t>
        </is>
      </c>
      <c r="D4" t="n">
        <v>0.3</v>
      </c>
      <c r="E4">
        <f>C4*D4</f>
        <v/>
      </c>
    </row>
    <row r="6">
      <c r="A6" t="inlineStr">
        <is>
          <t>Subcontractor Sub-Score (Weighted Avg)</t>
        </is>
      </c>
      <c r="E6">
        <f>SUM(E2:E4)</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36" customWidth="1" min="4" max="4"/>
    <col width="16" customWidth="1" min="5" max="5"/>
    <col width="14" customWidth="1" min="6" max="6"/>
    <col width="19" customWidth="1" min="7" max="7"/>
    <col width="70" customWidth="1" min="8" max="8"/>
    <col width="60" customWidth="1" min="9" max="9"/>
    <col width="18" customWidth="1" min="10" max="10"/>
    <col width="18" customWidth="1" min="11" max="11"/>
    <col width="15" customWidth="1" min="12" max="12"/>
    <col width="40" customWidth="1" min="13" max="13"/>
    <col width="24" customWidth="1" min="14" max="14"/>
    <col width="44" customWidth="1" min="15" max="15"/>
    <col width="14" customWidth="1" min="16" max="16"/>
    <col width="14" customWidth="1" min="17" max="17"/>
  </cols>
  <sheetData>
    <row r="1">
      <c r="A1" s="24" t="inlineStr">
        <is>
          <t>Template_ID</t>
        </is>
      </c>
      <c r="B1" s="24" t="inlineStr">
        <is>
          <t>Template_Name</t>
        </is>
      </c>
      <c r="C1" s="24" t="inlineStr">
        <is>
          <t>Pillar</t>
        </is>
      </c>
      <c r="D1" s="24" t="inlineStr">
        <is>
          <t>Subscore</t>
        </is>
      </c>
      <c r="E1" s="24" t="inlineStr">
        <is>
          <t>Severity_Class</t>
        </is>
      </c>
      <c r="F1" s="24" t="inlineStr">
        <is>
          <t>Trigger_Type</t>
        </is>
      </c>
      <c r="G1" s="24" t="inlineStr">
        <is>
          <t>Trigger_Condition</t>
        </is>
      </c>
      <c r="H1" s="24" t="inlineStr">
        <is>
          <t>Required_Action</t>
        </is>
      </c>
      <c r="I1" s="24" t="inlineStr">
        <is>
          <t>Rationale</t>
        </is>
      </c>
      <c r="J1" s="24" t="inlineStr">
        <is>
          <t>Default_Priority</t>
        </is>
      </c>
      <c r="K1" s="24" t="inlineStr">
        <is>
          <t>Responsible_Role</t>
        </is>
      </c>
      <c r="L1" s="24" t="inlineStr">
        <is>
          <t>Blocking_Flag</t>
        </is>
      </c>
      <c r="M1" s="24" t="inlineStr">
        <is>
          <t>Evidence_Types_Required</t>
        </is>
      </c>
      <c r="N1" s="24" t="inlineStr">
        <is>
          <t>Minimum_Validator_Role</t>
        </is>
      </c>
      <c r="O1" s="24" t="inlineStr">
        <is>
          <t>Closure_Condition</t>
        </is>
      </c>
      <c r="P1" s="24" t="inlineStr">
        <is>
          <t>Version</t>
        </is>
      </c>
      <c r="Q1" s="24" t="inlineStr">
        <is>
          <t>Is_Active</t>
        </is>
      </c>
    </row>
    <row r="2">
      <c r="A2" t="inlineStr">
        <is>
          <t>SAF-SUB-INS-001</t>
        </is>
      </c>
      <c r="B2" t="inlineStr">
        <is>
          <t>Continuous Subcontractor Insurance Monitoring</t>
        </is>
      </c>
      <c r="C2" t="inlineStr">
        <is>
          <t>Safety</t>
        </is>
      </c>
      <c r="D2" t="inlineStr">
        <is>
          <t>Subcontractor – Insurance Continuity</t>
        </is>
      </c>
      <c r="E2" t="inlineStr">
        <is>
          <t>Financial/Legal</t>
        </is>
      </c>
      <c r="F2" t="inlineStr">
        <is>
          <t>Guardrail</t>
        </is>
      </c>
      <c r="G2" t="inlineStr">
        <is>
          <t>Insurance Continuity &lt;= 2</t>
        </is>
      </c>
      <c r="H2" t="inlineStr">
        <is>
          <t>Implement a process to continuously monitor subcontractor insurance coverage for policy status, renewals, and lapses throughout the duration of work.</t>
        </is>
      </c>
      <c r="I2" t="inlineStr">
        <is>
          <t>One-time insurance verification does not prevent mid-project coverage lapses, resulting in upstream uninsured exposure.</t>
        </is>
      </c>
      <c r="J2" t="inlineStr">
        <is>
          <t>Critical</t>
        </is>
      </c>
      <c r="K2" t="inlineStr">
        <is>
          <t>Insured (primary); Producer (support)</t>
        </is>
      </c>
      <c r="L2" t="inlineStr">
        <is>
          <t>YES</t>
        </is>
      </c>
      <c r="M2" t="inlineStr">
        <is>
          <t>COI monitoring log/system report; renewal tracking documentation</t>
        </is>
      </c>
      <c r="N2" t="inlineStr">
        <is>
          <t>Producer/Risk Consultant</t>
        </is>
      </c>
      <c r="O2" t="inlineStr">
        <is>
          <t>Evidence reviewed/validated; coverage confirmed current at validation</t>
        </is>
      </c>
      <c r="P2" t="inlineStr">
        <is>
          <t>1.0</t>
        </is>
      </c>
      <c r="Q2" t="inlineStr">
        <is>
          <t>YES</t>
        </is>
      </c>
    </row>
    <row r="3">
      <c r="A3" t="inlineStr">
        <is>
          <t>SAF-SUB-TRN-001</t>
        </is>
      </c>
      <c r="B3" t="inlineStr">
        <is>
          <t>Subcontractor Safety Program Submission &amp; Alignment</t>
        </is>
      </c>
      <c r="C3" t="inlineStr">
        <is>
          <t>Safety</t>
        </is>
      </c>
      <c r="D3" t="inlineStr">
        <is>
          <t>Subcontractor – Training &amp; Oversight</t>
        </is>
      </c>
      <c r="E3" t="inlineStr">
        <is>
          <t>Operational</t>
        </is>
      </c>
      <c r="F3" t="inlineStr">
        <is>
          <t>Score Threshold</t>
        </is>
      </c>
      <c r="G3" t="inlineStr">
        <is>
          <t>Training &amp; Oversight &lt;= 3</t>
        </is>
      </c>
      <c r="H3" t="inlineStr">
        <is>
          <t>Require subcontractors to submit their written safety programs and confirm alignment with company safety rules prior to beginning work.</t>
        </is>
      </c>
      <c r="I3" t="inlineStr">
        <is>
          <t>Absence of verified subcontractor safety programs limits assurance of independent safety competency and increases exposure to preventable incidents.</t>
        </is>
      </c>
      <c r="J3" t="inlineStr">
        <is>
          <t>High</t>
        </is>
      </c>
      <c r="K3" t="inlineStr">
        <is>
          <t>Insured (primary); Risk Consultant (review)</t>
        </is>
      </c>
      <c r="L3" t="inlineStr">
        <is>
          <t>NO</t>
        </is>
      </c>
      <c r="M3" t="inlineStr">
        <is>
          <t>Sub safety programs; alignment review checklist</t>
        </is>
      </c>
      <c r="N3" t="inlineStr">
        <is>
          <t>Risk Consultant</t>
        </is>
      </c>
      <c r="O3" t="inlineStr">
        <is>
          <t>Evidence reviewed/validated; alignment review documented</t>
        </is>
      </c>
      <c r="P3" t="inlineStr">
        <is>
          <t>1.0</t>
        </is>
      </c>
      <c r="Q3" t="inlineStr">
        <is>
          <t>YES</t>
        </is>
      </c>
    </row>
    <row r="4">
      <c r="A4" t="inlineStr">
        <is>
          <t>SAF-SUB-TRN-002</t>
        </is>
      </c>
      <c r="B4" t="inlineStr">
        <is>
          <t>Site-Specific Safety Orientation</t>
        </is>
      </c>
      <c r="C4" t="inlineStr">
        <is>
          <t>Safety</t>
        </is>
      </c>
      <c r="D4" t="inlineStr">
        <is>
          <t>Subcontractor – Training &amp; Oversight</t>
        </is>
      </c>
      <c r="E4" t="inlineStr">
        <is>
          <t>Operational</t>
        </is>
      </c>
      <c r="F4" t="inlineStr">
        <is>
          <t>Score Threshold</t>
        </is>
      </c>
      <c r="G4" t="inlineStr">
        <is>
          <t>Training &amp; Oversight &lt;= 3</t>
        </is>
      </c>
      <c r="H4" t="inlineStr">
        <is>
          <t>Implement and document a site-specific safety orientation for all subcontractor personnel prior to beginning work.</t>
        </is>
      </c>
      <c r="I4" t="inlineStr">
        <is>
          <t>Site-specific hazards require documented orientation to establish expectations, authority, and enforcement standards.</t>
        </is>
      </c>
      <c r="J4" t="inlineStr">
        <is>
          <t>Medium-High</t>
        </is>
      </c>
      <c r="K4" t="inlineStr">
        <is>
          <t>Insured</t>
        </is>
      </c>
      <c r="L4" t="inlineStr">
        <is>
          <t>NO</t>
        </is>
      </c>
      <c r="M4" t="inlineStr">
        <is>
          <t>Orientation materials; attendance/sign-in records; orientation procedure</t>
        </is>
      </c>
      <c r="N4" t="inlineStr">
        <is>
          <t>Insured + Risk Consultant (review)</t>
        </is>
      </c>
      <c r="O4" t="inlineStr">
        <is>
          <t>Evidence reviewed/validated; orientation records complete</t>
        </is>
      </c>
      <c r="P4" t="inlineStr">
        <is>
          <t>1.0</t>
        </is>
      </c>
      <c r="Q4" t="inlineStr">
        <is>
          <t>YES</t>
        </is>
      </c>
    </row>
    <row r="5">
      <c r="A5" t="inlineStr">
        <is>
          <t>SAF-SUB-CRT-001</t>
        </is>
      </c>
      <c r="B5" t="inlineStr">
        <is>
          <t>Contractual Insurance Requirement Standardization</t>
        </is>
      </c>
      <c r="C5" t="inlineStr">
        <is>
          <t>Safety</t>
        </is>
      </c>
      <c r="D5" t="inlineStr">
        <is>
          <t>Subcontractor – Coverage &amp; Contract Integrity</t>
        </is>
      </c>
      <c r="E5" t="inlineStr">
        <is>
          <t>Legal</t>
        </is>
      </c>
      <c r="F5" t="inlineStr">
        <is>
          <t>Score Threshold</t>
        </is>
      </c>
      <c r="G5" t="inlineStr">
        <is>
          <t>Coverage Integrity &lt;= 3</t>
        </is>
      </c>
      <c r="H5" t="inlineStr">
        <is>
          <t>Standardize subcontract agreements to require appropriate limits, additional insured status, and primary &amp; non-contributory wording.</t>
        </is>
      </c>
      <c r="I5" t="inlineStr">
        <is>
          <t>Inconsistent contractual requirements weaken risk transfer and increase litigation exposure.</t>
        </is>
      </c>
      <c r="J5" t="inlineStr">
        <is>
          <t>High</t>
        </is>
      </c>
      <c r="K5" t="inlineStr">
        <is>
          <t>Insured; Legal (if applicable)</t>
        </is>
      </c>
      <c r="L5" t="inlineStr">
        <is>
          <t>NO</t>
        </is>
      </c>
      <c r="M5" t="inlineStr">
        <is>
          <t>Executed contract excerpts; insurance requirement exhibit</t>
        </is>
      </c>
      <c r="N5" t="inlineStr">
        <is>
          <t>Producer/Risk Consultant</t>
        </is>
      </c>
      <c r="O5" t="inlineStr">
        <is>
          <t>Evidence reviewed/validated; standardized language adopted</t>
        </is>
      </c>
      <c r="P5" t="inlineStr">
        <is>
          <t>1.0</t>
        </is>
      </c>
      <c r="Q5" t="inlineStr">
        <is>
          <t>YES</t>
        </is>
      </c>
    </row>
    <row r="6">
      <c r="A6" t="inlineStr">
        <is>
          <t>SAF-SUB-CRT-002</t>
        </is>
      </c>
      <c r="B6" t="inlineStr">
        <is>
          <t>Coverage &amp; Endorsement Verification</t>
        </is>
      </c>
      <c r="C6" t="inlineStr">
        <is>
          <t>Safety</t>
        </is>
      </c>
      <c r="D6" t="inlineStr">
        <is>
          <t>Subcontractor – Coverage &amp; Contract Integrity</t>
        </is>
      </c>
      <c r="E6" t="inlineStr">
        <is>
          <t>Financial/Legal</t>
        </is>
      </c>
      <c r="F6" t="inlineStr">
        <is>
          <t>Score Threshold</t>
        </is>
      </c>
      <c r="G6" t="inlineStr">
        <is>
          <t>Coverage Integrity &lt;= 3</t>
        </is>
      </c>
      <c r="H6" t="inlineStr">
        <is>
          <t>Verify that subcontractor insurance endorsements align with contractual requirements and do not contain material exclusions.</t>
        </is>
      </c>
      <c r="I6" t="inlineStr">
        <is>
          <t>Insurance that exists but does not respond creates false confidence and upstream exposure.</t>
        </is>
      </c>
      <c r="J6" t="inlineStr">
        <is>
          <t>High</t>
        </is>
      </c>
      <c r="K6" t="inlineStr">
        <is>
          <t>Producer/Risk Consultant (review); Insured</t>
        </is>
      </c>
      <c r="L6" t="inlineStr">
        <is>
          <t>NO</t>
        </is>
      </c>
      <c r="M6" t="inlineStr">
        <is>
          <t>Endorsement copies; coverage review checklist; exclusion review notes</t>
        </is>
      </c>
      <c r="N6" t="inlineStr">
        <is>
          <t>Producer/Risk Consultant</t>
        </is>
      </c>
      <c r="O6" t="inlineStr">
        <is>
          <t>Evidence reviewed/validated; endorsement compliance documented</t>
        </is>
      </c>
      <c r="P6" t="inlineStr">
        <is>
          <t>1.0</t>
        </is>
      </c>
      <c r="Q6" t="inlineStr">
        <is>
          <t>YES</t>
        </is>
      </c>
    </row>
  </sheetData>
  <autoFilter ref="A1:Q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50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3" customWidth="1" min="6" max="6"/>
    <col width="40" customWidth="1" min="7" max="7"/>
    <col width="14" customWidth="1" min="8" max="8"/>
    <col width="13" customWidth="1" min="9" max="9"/>
    <col width="12" customWidth="1" min="10" max="10"/>
    <col width="15" customWidth="1" min="11" max="11"/>
    <col width="18" customWidth="1" min="12" max="12"/>
    <col width="13" customWidth="1" min="13" max="13"/>
    <col width="17" customWidth="1" min="14" max="14"/>
    <col width="12" customWidth="1" min="15" max="15"/>
    <col width="20" customWidth="1" min="16" max="16"/>
    <col width="30" customWidth="1" min="17" max="17"/>
    <col width="16" customWidth="1" min="18" max="18"/>
    <col width="16" customWidth="1" min="19" max="19"/>
    <col width="19" customWidth="1" min="20" max="20"/>
    <col width="17" customWidth="1" min="21" max="21"/>
    <col width="18" customWidth="1" min="22" max="22"/>
    <col width="13" customWidth="1" min="23" max="23"/>
    <col width="14" customWidth="1" min="24" max="24"/>
    <col width="12" customWidth="1" min="25" max="25"/>
    <col width="20" customWidth="1" min="26" max="26"/>
    <col width="18" customWidth="1" min="27" max="27"/>
    <col width="28" customWidth="1" min="28" max="28"/>
    <col width="28" customWidth="1" min="29" max="29"/>
    <col width="28" customWidth="1" min="30" max="30"/>
    <col width="28" customWidth="1" min="31" max="31"/>
    <col width="28" customWidth="1" min="32" max="32"/>
  </cols>
  <sheetData>
    <row r="1">
      <c r="A1" s="24" t="inlineStr">
        <is>
          <t>Action_ID</t>
        </is>
      </c>
      <c r="B1" s="24" t="inlineStr">
        <is>
          <t>Assessment_ID</t>
        </is>
      </c>
      <c r="C1" s="24" t="inlineStr">
        <is>
          <t>Company_Name</t>
        </is>
      </c>
      <c r="D1" s="24" t="inlineStr">
        <is>
          <t>Pillar</t>
        </is>
      </c>
      <c r="E1" s="24" t="inlineStr">
        <is>
          <t>Subscore</t>
        </is>
      </c>
      <c r="F1" s="24" t="inlineStr">
        <is>
          <t>Template_ID</t>
        </is>
      </c>
      <c r="G1" s="24" t="inlineStr">
        <is>
          <t>Template_Name</t>
        </is>
      </c>
      <c r="H1" s="24" t="inlineStr">
        <is>
          <t>Trigger_Type</t>
        </is>
      </c>
      <c r="I1" s="24" t="inlineStr">
        <is>
          <t>Trigger_Met</t>
        </is>
      </c>
      <c r="J1" s="24" t="inlineStr">
        <is>
          <t>Priority</t>
        </is>
      </c>
      <c r="K1" s="24" t="inlineStr">
        <is>
          <t>Blocking_Flag</t>
        </is>
      </c>
      <c r="L1" s="24" t="inlineStr">
        <is>
          <t>Responsible_Role</t>
        </is>
      </c>
      <c r="M1" s="24" t="inlineStr">
        <is>
          <t>Assigned_To</t>
        </is>
      </c>
      <c r="N1" s="24" t="inlineStr">
        <is>
          <t>Target_Due_Date</t>
        </is>
      </c>
      <c r="O1" s="24" t="inlineStr">
        <is>
          <t>Status</t>
        </is>
      </c>
      <c r="P1" s="24" t="inlineStr">
        <is>
          <t>Evidence_Submitted</t>
        </is>
      </c>
      <c r="Q1" s="24" t="inlineStr">
        <is>
          <t>Evidence_Link_or_Ref</t>
        </is>
      </c>
      <c r="R1" s="24" t="inlineStr">
        <is>
          <t>Validator_Role</t>
        </is>
      </c>
      <c r="S1" s="24" t="inlineStr">
        <is>
          <t>Validator_Name</t>
        </is>
      </c>
      <c r="T1" s="24" t="inlineStr">
        <is>
          <t>Validation_Status</t>
        </is>
      </c>
      <c r="U1" s="24" t="inlineStr">
        <is>
          <t>Validation_Date</t>
        </is>
      </c>
      <c r="V1" s="24" t="inlineStr">
        <is>
          <t>Validation_Notes</t>
        </is>
      </c>
      <c r="W1" s="24" t="inlineStr">
        <is>
          <t>Closed_Date</t>
        </is>
      </c>
      <c r="X1" s="24" t="inlineStr">
        <is>
          <t>Created_Date</t>
        </is>
      </c>
      <c r="Y1" s="24" t="inlineStr">
        <is>
          <t>Created_By</t>
        </is>
      </c>
      <c r="Z1" s="24" t="inlineStr">
        <is>
          <t>Last_Modified_Date</t>
        </is>
      </c>
      <c r="AA1" s="24" t="inlineStr">
        <is>
          <t>Last_Modified_By</t>
        </is>
      </c>
      <c r="AB1" s="24" t="inlineStr">
        <is>
          <t>Evidence_Types_Required</t>
        </is>
      </c>
      <c r="AC1" s="24" t="inlineStr">
        <is>
          <t>Minimum_Validator_Role</t>
        </is>
      </c>
      <c r="AD1" s="24" t="inlineStr">
        <is>
          <t>Closure_Condition</t>
        </is>
      </c>
      <c r="AE1" s="24" t="inlineStr">
        <is>
          <t>Closure_Gate</t>
        </is>
      </c>
      <c r="AF1" s="24" t="inlineStr">
        <is>
          <t>Validator_Role_Check</t>
        </is>
      </c>
    </row>
    <row r="2">
      <c r="A2" t="inlineStr">
        <is>
          <t>ACT-00001</t>
        </is>
      </c>
      <c r="B2">
        <f>'Company_Profile'!B5</f>
        <v/>
      </c>
      <c r="C2">
        <f>'Company_Profile'!B2</f>
        <v/>
      </c>
      <c r="D2" t="inlineStr">
        <is>
          <t>Safety</t>
        </is>
      </c>
      <c r="E2" t="inlineStr">
        <is>
          <t>Subcontractor – Insurance Continuity</t>
        </is>
      </c>
      <c r="F2" t="inlineStr">
        <is>
          <t>SAF-SUB-INS-001</t>
        </is>
      </c>
      <c r="G2" t="inlineStr">
        <is>
          <t>Continuous Subcontractor Insurance Monitoring</t>
        </is>
      </c>
      <c r="H2" t="inlineStr">
        <is>
          <t>Guardrail</t>
        </is>
      </c>
      <c r="I2">
        <f>IF(F2="","",IFERROR(VLOOKUP(F2,Action_Generator!A:K,11,FALSE),""))</f>
        <v/>
      </c>
      <c r="J2" t="inlineStr">
        <is>
          <t>Critical</t>
        </is>
      </c>
      <c r="K2" t="inlineStr">
        <is>
          <t>YES</t>
        </is>
      </c>
      <c r="L2" t="inlineStr">
        <is>
          <t>Insured (primary); Producer (support)</t>
        </is>
      </c>
      <c r="O2">
        <f>IF(I2="YES","Open","")</f>
        <v/>
      </c>
      <c r="W2">
        <f>IF(AND(O2="Closed",AE2="OK"),TODAY(),"")</f>
        <v/>
      </c>
      <c r="X2">
        <f>TODAY()</f>
        <v/>
      </c>
      <c r="Z2">
        <f>TODAY()</f>
        <v/>
      </c>
      <c r="AB2">
        <f>IF(F2="","",IFERROR(VLOOKUP(F2,Action_Templates!$A:$Q,13,FALSE),""))</f>
        <v/>
      </c>
      <c r="AC2">
        <f>IF(F2="","",IFERROR(VLOOKUP(F2,Action_Templates!$A:$Q,14,FALSE),""))</f>
        <v/>
      </c>
      <c r="AD2">
        <f>IF(F2="","",IFERROR(VLOOKUP(F2,Action_Templates!$A:$Q,15,FALSE),""))</f>
        <v/>
      </c>
      <c r="AE2">
        <f>IF(O2="","",IF(OR(O2&lt;&gt;"Closed",AND(P2="YES",T2="Accepted")),"OK","BLOCKED"))</f>
        <v/>
      </c>
      <c r="AF2">
        <f>IF(OR(AC2="",R2=""),"",IF(ISNUMBER(SEARCH(AC2,R2)),"OK","CHECK"))</f>
        <v/>
      </c>
    </row>
    <row r="3">
      <c r="A3" t="inlineStr">
        <is>
          <t>ACT-00002</t>
        </is>
      </c>
      <c r="B3">
        <f>'Company_Profile'!B5</f>
        <v/>
      </c>
      <c r="C3">
        <f>'Company_Profile'!B2</f>
        <v/>
      </c>
      <c r="D3" t="inlineStr">
        <is>
          <t>Safety</t>
        </is>
      </c>
      <c r="E3" t="inlineStr">
        <is>
          <t>Subcontractor – Training &amp; Oversight</t>
        </is>
      </c>
      <c r="F3" t="inlineStr">
        <is>
          <t>SAF-SUB-TRN-001</t>
        </is>
      </c>
      <c r="G3" t="inlineStr">
        <is>
          <t>Subcontractor Safety Program Submission &amp; Alignment</t>
        </is>
      </c>
      <c r="H3" t="inlineStr">
        <is>
          <t>Score Threshold</t>
        </is>
      </c>
      <c r="I3">
        <f>IF(F3="","",IFERROR(VLOOKUP(F3,Action_Generator!A:K,11,FALSE),""))</f>
        <v/>
      </c>
      <c r="J3" t="inlineStr">
        <is>
          <t>High</t>
        </is>
      </c>
      <c r="K3" t="inlineStr">
        <is>
          <t>NO</t>
        </is>
      </c>
      <c r="L3" t="inlineStr">
        <is>
          <t>Insured (primary); Risk Consultant (review)</t>
        </is>
      </c>
      <c r="O3">
        <f>IF(I3="YES","Open","")</f>
        <v/>
      </c>
      <c r="W3">
        <f>IF(AND(O3="Closed",AE3="OK"),TODAY(),"")</f>
        <v/>
      </c>
      <c r="X3">
        <f>TODAY()</f>
        <v/>
      </c>
      <c r="Z3">
        <f>TODAY()</f>
        <v/>
      </c>
      <c r="AB3">
        <f>IF(F3="","",IFERROR(VLOOKUP(F3,Action_Templates!$A:$Q,13,FALSE),""))</f>
        <v/>
      </c>
      <c r="AC3">
        <f>IF(F3="","",IFERROR(VLOOKUP(F3,Action_Templates!$A:$Q,14,FALSE),""))</f>
        <v/>
      </c>
      <c r="AD3">
        <f>IF(F3="","",IFERROR(VLOOKUP(F3,Action_Templates!$A:$Q,15,FALSE),""))</f>
        <v/>
      </c>
      <c r="AE3">
        <f>IF(O3="","",IF(OR(O3&lt;&gt;"Closed",AND(P3="YES",T3="Accepted")),"OK","BLOCKED"))</f>
        <v/>
      </c>
      <c r="AF3">
        <f>IF(OR(AC3="",R3=""),"",IF(ISNUMBER(SEARCH(AC3,R3)),"OK","CHECK"))</f>
        <v/>
      </c>
    </row>
    <row r="4">
      <c r="A4" t="inlineStr">
        <is>
          <t>ACT-00003</t>
        </is>
      </c>
      <c r="B4">
        <f>'Company_Profile'!B5</f>
        <v/>
      </c>
      <c r="C4">
        <f>'Company_Profile'!B2</f>
        <v/>
      </c>
      <c r="D4" t="inlineStr">
        <is>
          <t>Safety</t>
        </is>
      </c>
      <c r="E4" t="inlineStr">
        <is>
          <t>Subcontractor – Training &amp; Oversight</t>
        </is>
      </c>
      <c r="F4" t="inlineStr">
        <is>
          <t>SAF-SUB-TRN-002</t>
        </is>
      </c>
      <c r="G4" t="inlineStr">
        <is>
          <t>Site-Specific Safety Orientation</t>
        </is>
      </c>
      <c r="H4" t="inlineStr">
        <is>
          <t>Score Threshold</t>
        </is>
      </c>
      <c r="I4">
        <f>IF(F4="","",IFERROR(VLOOKUP(F4,Action_Generator!A:K,11,FALSE),""))</f>
        <v/>
      </c>
      <c r="J4" t="inlineStr">
        <is>
          <t>Medium-High</t>
        </is>
      </c>
      <c r="K4" t="inlineStr">
        <is>
          <t>NO</t>
        </is>
      </c>
      <c r="L4" t="inlineStr">
        <is>
          <t>Insured</t>
        </is>
      </c>
      <c r="O4">
        <f>IF(I4="YES","Open","")</f>
        <v/>
      </c>
      <c r="W4">
        <f>IF(AND(O4="Closed",AE4="OK"),TODAY(),"")</f>
        <v/>
      </c>
      <c r="X4">
        <f>TODAY()</f>
        <v/>
      </c>
      <c r="Z4">
        <f>TODAY()</f>
        <v/>
      </c>
      <c r="AB4">
        <f>IF(F4="","",IFERROR(VLOOKUP(F4,Action_Templates!$A:$Q,13,FALSE),""))</f>
        <v/>
      </c>
      <c r="AC4">
        <f>IF(F4="","",IFERROR(VLOOKUP(F4,Action_Templates!$A:$Q,14,FALSE),""))</f>
        <v/>
      </c>
      <c r="AD4">
        <f>IF(F4="","",IFERROR(VLOOKUP(F4,Action_Templates!$A:$Q,15,FALSE),""))</f>
        <v/>
      </c>
      <c r="AE4">
        <f>IF(O4="","",IF(OR(O4&lt;&gt;"Closed",AND(P4="YES",T4="Accepted")),"OK","BLOCKED"))</f>
        <v/>
      </c>
      <c r="AF4">
        <f>IF(OR(AC4="",R4=""),"",IF(ISNUMBER(SEARCH(AC4,R4)),"OK","CHECK"))</f>
        <v/>
      </c>
    </row>
    <row r="5">
      <c r="A5" t="inlineStr">
        <is>
          <t>ACT-00004</t>
        </is>
      </c>
      <c r="B5">
        <f>'Company_Profile'!B5</f>
        <v/>
      </c>
      <c r="C5">
        <f>'Company_Profile'!B2</f>
        <v/>
      </c>
      <c r="D5" t="inlineStr">
        <is>
          <t>Safety</t>
        </is>
      </c>
      <c r="E5" t="inlineStr">
        <is>
          <t>Subcontractor – Coverage &amp; Contract Integrity</t>
        </is>
      </c>
      <c r="F5" t="inlineStr">
        <is>
          <t>SAF-SUB-CRT-001</t>
        </is>
      </c>
      <c r="G5" t="inlineStr">
        <is>
          <t>Contractual Insurance Requirement Standardization</t>
        </is>
      </c>
      <c r="H5" t="inlineStr">
        <is>
          <t>Score Threshold</t>
        </is>
      </c>
      <c r="I5">
        <f>IF(F5="","",IFERROR(VLOOKUP(F5,Action_Generator!A:K,11,FALSE),""))</f>
        <v/>
      </c>
      <c r="J5" t="inlineStr">
        <is>
          <t>High</t>
        </is>
      </c>
      <c r="K5" t="inlineStr">
        <is>
          <t>NO</t>
        </is>
      </c>
      <c r="L5" t="inlineStr">
        <is>
          <t>Insured; Legal (if applicable)</t>
        </is>
      </c>
      <c r="O5">
        <f>IF(I5="YES","Open","")</f>
        <v/>
      </c>
      <c r="W5">
        <f>IF(AND(O5="Closed",AE5="OK"),TODAY(),"")</f>
        <v/>
      </c>
      <c r="X5">
        <f>TODAY()</f>
        <v/>
      </c>
      <c r="Z5">
        <f>TODAY()</f>
        <v/>
      </c>
      <c r="AB5">
        <f>IF(F5="","",IFERROR(VLOOKUP(F5,Action_Templates!$A:$Q,13,FALSE),""))</f>
        <v/>
      </c>
      <c r="AC5">
        <f>IF(F5="","",IFERROR(VLOOKUP(F5,Action_Templates!$A:$Q,14,FALSE),""))</f>
        <v/>
      </c>
      <c r="AD5">
        <f>IF(F5="","",IFERROR(VLOOKUP(F5,Action_Templates!$A:$Q,15,FALSE),""))</f>
        <v/>
      </c>
      <c r="AE5">
        <f>IF(O5="","",IF(OR(O5&lt;&gt;"Closed",AND(P5="YES",T5="Accepted")),"OK","BLOCKED"))</f>
        <v/>
      </c>
      <c r="AF5">
        <f>IF(OR(AC5="",R5=""),"",IF(ISNUMBER(SEARCH(AC5,R5)),"OK","CHECK"))</f>
        <v/>
      </c>
    </row>
    <row r="6">
      <c r="A6" t="inlineStr">
        <is>
          <t>ACT-00005</t>
        </is>
      </c>
      <c r="B6">
        <f>'Company_Profile'!B5</f>
        <v/>
      </c>
      <c r="C6">
        <f>'Company_Profile'!B2</f>
        <v/>
      </c>
      <c r="D6" t="inlineStr">
        <is>
          <t>Safety</t>
        </is>
      </c>
      <c r="E6" t="inlineStr">
        <is>
          <t>Subcontractor – Coverage &amp; Contract Integrity</t>
        </is>
      </c>
      <c r="F6" t="inlineStr">
        <is>
          <t>SAF-SUB-CRT-002</t>
        </is>
      </c>
      <c r="G6" t="inlineStr">
        <is>
          <t>Coverage &amp; Endorsement Verification</t>
        </is>
      </c>
      <c r="H6" t="inlineStr">
        <is>
          <t>Score Threshold</t>
        </is>
      </c>
      <c r="I6">
        <f>IF(F6="","",IFERROR(VLOOKUP(F6,Action_Generator!A:K,11,FALSE),""))</f>
        <v/>
      </c>
      <c r="J6" t="inlineStr">
        <is>
          <t>High</t>
        </is>
      </c>
      <c r="K6" t="inlineStr">
        <is>
          <t>NO</t>
        </is>
      </c>
      <c r="L6" t="inlineStr">
        <is>
          <t>Producer/Risk Consultant (review); Insured</t>
        </is>
      </c>
      <c r="O6">
        <f>IF(I6="YES","Open","")</f>
        <v/>
      </c>
      <c r="W6">
        <f>IF(AND(O6="Closed",AE6="OK"),TODAY(),"")</f>
        <v/>
      </c>
      <c r="X6">
        <f>TODAY()</f>
        <v/>
      </c>
      <c r="Z6">
        <f>TODAY()</f>
        <v/>
      </c>
      <c r="AB6">
        <f>IF(F6="","",IFERROR(VLOOKUP(F6,Action_Templates!$A:$Q,13,FALSE),""))</f>
        <v/>
      </c>
      <c r="AC6">
        <f>IF(F6="","",IFERROR(VLOOKUP(F6,Action_Templates!$A:$Q,14,FALSE),""))</f>
        <v/>
      </c>
      <c r="AD6">
        <f>IF(F6="","",IFERROR(VLOOKUP(F6,Action_Templates!$A:$Q,15,FALSE),""))</f>
        <v/>
      </c>
      <c r="AE6">
        <f>IF(O6="","",IF(OR(O6&lt;&gt;"Closed",AND(P6="YES",T6="Accepted")),"OK","BLOCKED"))</f>
        <v/>
      </c>
      <c r="AF6">
        <f>IF(OR(AC6="",R6=""),"",IF(ISNUMBER(SEARCH(AC6,R6)),"OK","CHECK"))</f>
        <v/>
      </c>
    </row>
    <row r="7">
      <c r="A7" t="inlineStr">
        <is>
          <t>ACT-00006</t>
        </is>
      </c>
      <c r="B7">
        <f>'Company_Profile'!B5</f>
        <v/>
      </c>
      <c r="C7">
        <f>'Company_Profile'!B2</f>
        <v/>
      </c>
      <c r="W7">
        <f>IF(AND(O7="Closed",AE7="OK"),TODAY(),"")</f>
        <v/>
      </c>
      <c r="AB7">
        <f>IF(F7="","",IFERROR(VLOOKUP(F7,Action_Templates!$A:$Q,13,FALSE),""))</f>
        <v/>
      </c>
      <c r="AC7">
        <f>IF(F7="","",IFERROR(VLOOKUP(F7,Action_Templates!$A:$Q,14,FALSE),""))</f>
        <v/>
      </c>
      <c r="AD7">
        <f>IF(F7="","",IFERROR(VLOOKUP(F7,Action_Templates!$A:$Q,15,FALSE),""))</f>
        <v/>
      </c>
      <c r="AE7">
        <f>IF(O7="","",IF(OR(O7&lt;&gt;"Closed",AND(P7="YES",T7="Accepted")),"OK","BLOCKED"))</f>
        <v/>
      </c>
      <c r="AF7">
        <f>IF(OR(AC7="",R7=""),"",IF(ISNUMBER(SEARCH(AC7,R7)),"OK","CHECK"))</f>
        <v/>
      </c>
    </row>
    <row r="8">
      <c r="A8" t="inlineStr">
        <is>
          <t>ACT-00007</t>
        </is>
      </c>
      <c r="B8">
        <f>'Company_Profile'!B5</f>
        <v/>
      </c>
      <c r="C8">
        <f>'Company_Profile'!B2</f>
        <v/>
      </c>
      <c r="W8">
        <f>IF(AND(O8="Closed",AE8="OK"),TODAY(),"")</f>
        <v/>
      </c>
      <c r="AB8">
        <f>IF(F8="","",IFERROR(VLOOKUP(F8,Action_Templates!$A:$Q,13,FALSE),""))</f>
        <v/>
      </c>
      <c r="AC8">
        <f>IF(F8="","",IFERROR(VLOOKUP(F8,Action_Templates!$A:$Q,14,FALSE),""))</f>
        <v/>
      </c>
      <c r="AD8">
        <f>IF(F8="","",IFERROR(VLOOKUP(F8,Action_Templates!$A:$Q,15,FALSE),""))</f>
        <v/>
      </c>
      <c r="AE8">
        <f>IF(O8="","",IF(OR(O8&lt;&gt;"Closed",AND(P8="YES",T8="Accepted")),"OK","BLOCKED"))</f>
        <v/>
      </c>
      <c r="AF8">
        <f>IF(OR(AC8="",R8=""),"",IF(ISNUMBER(SEARCH(AC8,R8)),"OK","CHECK"))</f>
        <v/>
      </c>
    </row>
    <row r="9">
      <c r="A9" t="inlineStr">
        <is>
          <t>ACT-00008</t>
        </is>
      </c>
      <c r="B9">
        <f>'Company_Profile'!B5</f>
        <v/>
      </c>
      <c r="C9">
        <f>'Company_Profile'!B2</f>
        <v/>
      </c>
      <c r="W9">
        <f>IF(AND(O9="Closed",AE9="OK"),TODAY(),"")</f>
        <v/>
      </c>
      <c r="AB9">
        <f>IF(F9="","",IFERROR(VLOOKUP(F9,Action_Templates!$A:$Q,13,FALSE),""))</f>
        <v/>
      </c>
      <c r="AC9">
        <f>IF(F9="","",IFERROR(VLOOKUP(F9,Action_Templates!$A:$Q,14,FALSE),""))</f>
        <v/>
      </c>
      <c r="AD9">
        <f>IF(F9="","",IFERROR(VLOOKUP(F9,Action_Templates!$A:$Q,15,FALSE),""))</f>
        <v/>
      </c>
      <c r="AE9">
        <f>IF(O9="","",IF(OR(O9&lt;&gt;"Closed",AND(P9="YES",T9="Accepted")),"OK","BLOCKED"))</f>
        <v/>
      </c>
      <c r="AF9">
        <f>IF(OR(AC9="",R9=""),"",IF(ISNUMBER(SEARCH(AC9,R9)),"OK","CHECK"))</f>
        <v/>
      </c>
    </row>
    <row r="10">
      <c r="A10" t="inlineStr">
        <is>
          <t>ACT-00009</t>
        </is>
      </c>
      <c r="B10">
        <f>'Company_Profile'!B5</f>
        <v/>
      </c>
      <c r="C10">
        <f>'Company_Profile'!B2</f>
        <v/>
      </c>
      <c r="W10">
        <f>IF(AND(O10="Closed",AE10="OK"),TODAY(),"")</f>
        <v/>
      </c>
      <c r="AB10">
        <f>IF(F10="","",IFERROR(VLOOKUP(F10,Action_Templates!$A:$Q,13,FALSE),""))</f>
        <v/>
      </c>
      <c r="AC10">
        <f>IF(F10="","",IFERROR(VLOOKUP(F10,Action_Templates!$A:$Q,14,FALSE),""))</f>
        <v/>
      </c>
      <c r="AD10">
        <f>IF(F10="","",IFERROR(VLOOKUP(F10,Action_Templates!$A:$Q,15,FALSE),""))</f>
        <v/>
      </c>
      <c r="AE10">
        <f>IF(O10="","",IF(OR(O10&lt;&gt;"Closed",AND(P10="YES",T10="Accepted")),"OK","BLOCKED"))</f>
        <v/>
      </c>
      <c r="AF10">
        <f>IF(OR(AC10="",R10=""),"",IF(ISNUMBER(SEARCH(AC10,R10)),"OK","CHECK"))</f>
        <v/>
      </c>
    </row>
    <row r="11">
      <c r="A11" t="inlineStr">
        <is>
          <t>ACT-00010</t>
        </is>
      </c>
      <c r="B11">
        <f>'Company_Profile'!B5</f>
        <v/>
      </c>
      <c r="C11">
        <f>'Company_Profile'!B2</f>
        <v/>
      </c>
      <c r="W11">
        <f>IF(AND(O11="Closed",AE11="OK"),TODAY(),"")</f>
        <v/>
      </c>
      <c r="AB11">
        <f>IF(F11="","",IFERROR(VLOOKUP(F11,Action_Templates!$A:$Q,13,FALSE),""))</f>
        <v/>
      </c>
      <c r="AC11">
        <f>IF(F11="","",IFERROR(VLOOKUP(F11,Action_Templates!$A:$Q,14,FALSE),""))</f>
        <v/>
      </c>
      <c r="AD11">
        <f>IF(F11="","",IFERROR(VLOOKUP(F11,Action_Templates!$A:$Q,15,FALSE),""))</f>
        <v/>
      </c>
      <c r="AE11">
        <f>IF(O11="","",IF(OR(O11&lt;&gt;"Closed",AND(P11="YES",T11="Accepted")),"OK","BLOCKED"))</f>
        <v/>
      </c>
      <c r="AF11">
        <f>IF(OR(AC11="",R11=""),"",IF(ISNUMBER(SEARCH(AC11,R11)),"OK","CHECK"))</f>
        <v/>
      </c>
    </row>
    <row r="12">
      <c r="A12" t="inlineStr">
        <is>
          <t>ACT-00011</t>
        </is>
      </c>
      <c r="B12">
        <f>'Company_Profile'!B5</f>
        <v/>
      </c>
      <c r="C12">
        <f>'Company_Profile'!B2</f>
        <v/>
      </c>
      <c r="W12">
        <f>IF(AND(O12="Closed",AE12="OK"),TODAY(),"")</f>
        <v/>
      </c>
      <c r="AB12">
        <f>IF(F12="","",IFERROR(VLOOKUP(F12,Action_Templates!$A:$Q,13,FALSE),""))</f>
        <v/>
      </c>
      <c r="AC12">
        <f>IF(F12="","",IFERROR(VLOOKUP(F12,Action_Templates!$A:$Q,14,FALSE),""))</f>
        <v/>
      </c>
      <c r="AD12">
        <f>IF(F12="","",IFERROR(VLOOKUP(F12,Action_Templates!$A:$Q,15,FALSE),""))</f>
        <v/>
      </c>
      <c r="AE12">
        <f>IF(O12="","",IF(OR(O12&lt;&gt;"Closed",AND(P12="YES",T12="Accepted")),"OK","BLOCKED"))</f>
        <v/>
      </c>
      <c r="AF12">
        <f>IF(OR(AC12="",R12=""),"",IF(ISNUMBER(SEARCH(AC12,R12)),"OK","CHECK"))</f>
        <v/>
      </c>
    </row>
    <row r="13">
      <c r="A13" t="inlineStr">
        <is>
          <t>ACT-00012</t>
        </is>
      </c>
      <c r="B13">
        <f>'Company_Profile'!B5</f>
        <v/>
      </c>
      <c r="C13">
        <f>'Company_Profile'!B2</f>
        <v/>
      </c>
      <c r="W13">
        <f>IF(AND(O13="Closed",AE13="OK"),TODAY(),"")</f>
        <v/>
      </c>
      <c r="AB13">
        <f>IF(F13="","",IFERROR(VLOOKUP(F13,Action_Templates!$A:$Q,13,FALSE),""))</f>
        <v/>
      </c>
      <c r="AC13">
        <f>IF(F13="","",IFERROR(VLOOKUP(F13,Action_Templates!$A:$Q,14,FALSE),""))</f>
        <v/>
      </c>
      <c r="AD13">
        <f>IF(F13="","",IFERROR(VLOOKUP(F13,Action_Templates!$A:$Q,15,FALSE),""))</f>
        <v/>
      </c>
      <c r="AE13">
        <f>IF(O13="","",IF(OR(O13&lt;&gt;"Closed",AND(P13="YES",T13="Accepted")),"OK","BLOCKED"))</f>
        <v/>
      </c>
      <c r="AF13">
        <f>IF(OR(AC13="",R13=""),"",IF(ISNUMBER(SEARCH(AC13,R13)),"OK","CHECK"))</f>
        <v/>
      </c>
    </row>
    <row r="14">
      <c r="A14" t="inlineStr">
        <is>
          <t>ACT-00013</t>
        </is>
      </c>
      <c r="B14">
        <f>'Company_Profile'!B5</f>
        <v/>
      </c>
      <c r="C14">
        <f>'Company_Profile'!B2</f>
        <v/>
      </c>
      <c r="W14">
        <f>IF(AND(O14="Closed",AE14="OK"),TODAY(),"")</f>
        <v/>
      </c>
      <c r="AB14">
        <f>IF(F14="","",IFERROR(VLOOKUP(F14,Action_Templates!$A:$Q,13,FALSE),""))</f>
        <v/>
      </c>
      <c r="AC14">
        <f>IF(F14="","",IFERROR(VLOOKUP(F14,Action_Templates!$A:$Q,14,FALSE),""))</f>
        <v/>
      </c>
      <c r="AD14">
        <f>IF(F14="","",IFERROR(VLOOKUP(F14,Action_Templates!$A:$Q,15,FALSE),""))</f>
        <v/>
      </c>
      <c r="AE14">
        <f>IF(O14="","",IF(OR(O14&lt;&gt;"Closed",AND(P14="YES",T14="Accepted")),"OK","BLOCKED"))</f>
        <v/>
      </c>
      <c r="AF14">
        <f>IF(OR(AC14="",R14=""),"",IF(ISNUMBER(SEARCH(AC14,R14)),"OK","CHECK"))</f>
        <v/>
      </c>
    </row>
    <row r="15">
      <c r="A15" t="inlineStr">
        <is>
          <t>ACT-00014</t>
        </is>
      </c>
      <c r="B15">
        <f>'Company_Profile'!B5</f>
        <v/>
      </c>
      <c r="C15">
        <f>'Company_Profile'!B2</f>
        <v/>
      </c>
      <c r="W15">
        <f>IF(AND(O15="Closed",AE15="OK"),TODAY(),"")</f>
        <v/>
      </c>
      <c r="AB15">
        <f>IF(F15="","",IFERROR(VLOOKUP(F15,Action_Templates!$A:$Q,13,FALSE),""))</f>
        <v/>
      </c>
      <c r="AC15">
        <f>IF(F15="","",IFERROR(VLOOKUP(F15,Action_Templates!$A:$Q,14,FALSE),""))</f>
        <v/>
      </c>
      <c r="AD15">
        <f>IF(F15="","",IFERROR(VLOOKUP(F15,Action_Templates!$A:$Q,15,FALSE),""))</f>
        <v/>
      </c>
      <c r="AE15">
        <f>IF(O15="","",IF(OR(O15&lt;&gt;"Closed",AND(P15="YES",T15="Accepted")),"OK","BLOCKED"))</f>
        <v/>
      </c>
      <c r="AF15">
        <f>IF(OR(AC15="",R15=""),"",IF(ISNUMBER(SEARCH(AC15,R15)),"OK","CHECK"))</f>
        <v/>
      </c>
    </row>
    <row r="16">
      <c r="A16" t="inlineStr">
        <is>
          <t>ACT-00015</t>
        </is>
      </c>
      <c r="B16">
        <f>'Company_Profile'!B5</f>
        <v/>
      </c>
      <c r="C16">
        <f>'Company_Profile'!B2</f>
        <v/>
      </c>
      <c r="W16">
        <f>IF(AND(O16="Closed",AE16="OK"),TODAY(),"")</f>
        <v/>
      </c>
      <c r="AB16">
        <f>IF(F16="","",IFERROR(VLOOKUP(F16,Action_Templates!$A:$Q,13,FALSE),""))</f>
        <v/>
      </c>
      <c r="AC16">
        <f>IF(F16="","",IFERROR(VLOOKUP(F16,Action_Templates!$A:$Q,14,FALSE),""))</f>
        <v/>
      </c>
      <c r="AD16">
        <f>IF(F16="","",IFERROR(VLOOKUP(F16,Action_Templates!$A:$Q,15,FALSE),""))</f>
        <v/>
      </c>
      <c r="AE16">
        <f>IF(O16="","",IF(OR(O16&lt;&gt;"Closed",AND(P16="YES",T16="Accepted")),"OK","BLOCKED"))</f>
        <v/>
      </c>
      <c r="AF16">
        <f>IF(OR(AC16="",R16=""),"",IF(ISNUMBER(SEARCH(AC16,R16)),"OK","CHECK"))</f>
        <v/>
      </c>
    </row>
    <row r="17">
      <c r="A17" t="inlineStr">
        <is>
          <t>ACT-00016</t>
        </is>
      </c>
      <c r="B17">
        <f>'Company_Profile'!B5</f>
        <v/>
      </c>
      <c r="C17">
        <f>'Company_Profile'!B2</f>
        <v/>
      </c>
      <c r="W17">
        <f>IF(AND(O17="Closed",AE17="OK"),TODAY(),"")</f>
        <v/>
      </c>
      <c r="AB17">
        <f>IF(F17="","",IFERROR(VLOOKUP(F17,Action_Templates!$A:$Q,13,FALSE),""))</f>
        <v/>
      </c>
      <c r="AC17">
        <f>IF(F17="","",IFERROR(VLOOKUP(F17,Action_Templates!$A:$Q,14,FALSE),""))</f>
        <v/>
      </c>
      <c r="AD17">
        <f>IF(F17="","",IFERROR(VLOOKUP(F17,Action_Templates!$A:$Q,15,FALSE),""))</f>
        <v/>
      </c>
      <c r="AE17">
        <f>IF(O17="","",IF(OR(O17&lt;&gt;"Closed",AND(P17="YES",T17="Accepted")),"OK","BLOCKED"))</f>
        <v/>
      </c>
      <c r="AF17">
        <f>IF(OR(AC17="",R17=""),"",IF(ISNUMBER(SEARCH(AC17,R17)),"OK","CHECK"))</f>
        <v/>
      </c>
    </row>
    <row r="18">
      <c r="A18" t="inlineStr">
        <is>
          <t>ACT-00017</t>
        </is>
      </c>
      <c r="B18">
        <f>'Company_Profile'!B5</f>
        <v/>
      </c>
      <c r="C18">
        <f>'Company_Profile'!B2</f>
        <v/>
      </c>
      <c r="W18">
        <f>IF(AND(O18="Closed",AE18="OK"),TODAY(),"")</f>
        <v/>
      </c>
      <c r="AB18">
        <f>IF(F18="","",IFERROR(VLOOKUP(F18,Action_Templates!$A:$Q,13,FALSE),""))</f>
        <v/>
      </c>
      <c r="AC18">
        <f>IF(F18="","",IFERROR(VLOOKUP(F18,Action_Templates!$A:$Q,14,FALSE),""))</f>
        <v/>
      </c>
      <c r="AD18">
        <f>IF(F18="","",IFERROR(VLOOKUP(F18,Action_Templates!$A:$Q,15,FALSE),""))</f>
        <v/>
      </c>
      <c r="AE18">
        <f>IF(O18="","",IF(OR(O18&lt;&gt;"Closed",AND(P18="YES",T18="Accepted")),"OK","BLOCKED"))</f>
        <v/>
      </c>
      <c r="AF18">
        <f>IF(OR(AC18="",R18=""),"",IF(ISNUMBER(SEARCH(AC18,R18)),"OK","CHECK"))</f>
        <v/>
      </c>
    </row>
    <row r="19">
      <c r="A19" t="inlineStr">
        <is>
          <t>ACT-00018</t>
        </is>
      </c>
      <c r="B19">
        <f>'Company_Profile'!B5</f>
        <v/>
      </c>
      <c r="C19">
        <f>'Company_Profile'!B2</f>
        <v/>
      </c>
      <c r="W19">
        <f>IF(AND(O19="Closed",AE19="OK"),TODAY(),"")</f>
        <v/>
      </c>
      <c r="AB19">
        <f>IF(F19="","",IFERROR(VLOOKUP(F19,Action_Templates!$A:$Q,13,FALSE),""))</f>
        <v/>
      </c>
      <c r="AC19">
        <f>IF(F19="","",IFERROR(VLOOKUP(F19,Action_Templates!$A:$Q,14,FALSE),""))</f>
        <v/>
      </c>
      <c r="AD19">
        <f>IF(F19="","",IFERROR(VLOOKUP(F19,Action_Templates!$A:$Q,15,FALSE),""))</f>
        <v/>
      </c>
      <c r="AE19">
        <f>IF(O19="","",IF(OR(O19&lt;&gt;"Closed",AND(P19="YES",T19="Accepted")),"OK","BLOCKED"))</f>
        <v/>
      </c>
      <c r="AF19">
        <f>IF(OR(AC19="",R19=""),"",IF(ISNUMBER(SEARCH(AC19,R19)),"OK","CHECK"))</f>
        <v/>
      </c>
    </row>
    <row r="20">
      <c r="A20" t="inlineStr">
        <is>
          <t>ACT-00019</t>
        </is>
      </c>
      <c r="B20">
        <f>'Company_Profile'!B5</f>
        <v/>
      </c>
      <c r="C20">
        <f>'Company_Profile'!B2</f>
        <v/>
      </c>
      <c r="W20">
        <f>IF(AND(O20="Closed",AE20="OK"),TODAY(),"")</f>
        <v/>
      </c>
      <c r="AB20">
        <f>IF(F20="","",IFERROR(VLOOKUP(F20,Action_Templates!$A:$Q,13,FALSE),""))</f>
        <v/>
      </c>
      <c r="AC20">
        <f>IF(F20="","",IFERROR(VLOOKUP(F20,Action_Templates!$A:$Q,14,FALSE),""))</f>
        <v/>
      </c>
      <c r="AD20">
        <f>IF(F20="","",IFERROR(VLOOKUP(F20,Action_Templates!$A:$Q,15,FALSE),""))</f>
        <v/>
      </c>
      <c r="AE20">
        <f>IF(O20="","",IF(OR(O20&lt;&gt;"Closed",AND(P20="YES",T20="Accepted")),"OK","BLOCKED"))</f>
        <v/>
      </c>
      <c r="AF20">
        <f>IF(OR(AC20="",R20=""),"",IF(ISNUMBER(SEARCH(AC20,R20)),"OK","CHECK"))</f>
        <v/>
      </c>
    </row>
    <row r="21">
      <c r="A21" t="inlineStr">
        <is>
          <t>ACT-00020</t>
        </is>
      </c>
      <c r="B21">
        <f>'Company_Profile'!B5</f>
        <v/>
      </c>
      <c r="C21">
        <f>'Company_Profile'!B2</f>
        <v/>
      </c>
      <c r="W21">
        <f>IF(AND(O21="Closed",AE21="OK"),TODAY(),"")</f>
        <v/>
      </c>
      <c r="AB21">
        <f>IF(F21="","",IFERROR(VLOOKUP(F21,Action_Templates!$A:$Q,13,FALSE),""))</f>
        <v/>
      </c>
      <c r="AC21">
        <f>IF(F21="","",IFERROR(VLOOKUP(F21,Action_Templates!$A:$Q,14,FALSE),""))</f>
        <v/>
      </c>
      <c r="AD21">
        <f>IF(F21="","",IFERROR(VLOOKUP(F21,Action_Templates!$A:$Q,15,FALSE),""))</f>
        <v/>
      </c>
      <c r="AE21">
        <f>IF(O21="","",IF(OR(O21&lt;&gt;"Closed",AND(P21="YES",T21="Accepted")),"OK","BLOCKED"))</f>
        <v/>
      </c>
      <c r="AF21">
        <f>IF(OR(AC21="",R21=""),"",IF(ISNUMBER(SEARCH(AC21,R21)),"OK","CHECK"))</f>
        <v/>
      </c>
    </row>
    <row r="22">
      <c r="A22" t="inlineStr">
        <is>
          <t>ACT-00021</t>
        </is>
      </c>
      <c r="B22">
        <f>'Company_Profile'!B5</f>
        <v/>
      </c>
      <c r="C22">
        <f>'Company_Profile'!B2</f>
        <v/>
      </c>
      <c r="W22">
        <f>IF(AND(O22="Closed",AE22="OK"),TODAY(),"")</f>
        <v/>
      </c>
      <c r="AB22">
        <f>IF(F22="","",IFERROR(VLOOKUP(F22,Action_Templates!$A:$Q,13,FALSE),""))</f>
        <v/>
      </c>
      <c r="AC22">
        <f>IF(F22="","",IFERROR(VLOOKUP(F22,Action_Templates!$A:$Q,14,FALSE),""))</f>
        <v/>
      </c>
      <c r="AD22">
        <f>IF(F22="","",IFERROR(VLOOKUP(F22,Action_Templates!$A:$Q,15,FALSE),""))</f>
        <v/>
      </c>
      <c r="AE22">
        <f>IF(O22="","",IF(OR(O22&lt;&gt;"Closed",AND(P22="YES",T22="Accepted")),"OK","BLOCKED"))</f>
        <v/>
      </c>
      <c r="AF22">
        <f>IF(OR(AC22="",R22=""),"",IF(ISNUMBER(SEARCH(AC22,R22)),"OK","CHECK"))</f>
        <v/>
      </c>
    </row>
    <row r="23">
      <c r="A23" t="inlineStr">
        <is>
          <t>ACT-00022</t>
        </is>
      </c>
      <c r="B23">
        <f>'Company_Profile'!B5</f>
        <v/>
      </c>
      <c r="C23">
        <f>'Company_Profile'!B2</f>
        <v/>
      </c>
      <c r="W23">
        <f>IF(AND(O23="Closed",AE23="OK"),TODAY(),"")</f>
        <v/>
      </c>
      <c r="AB23">
        <f>IF(F23="","",IFERROR(VLOOKUP(F23,Action_Templates!$A:$Q,13,FALSE),""))</f>
        <v/>
      </c>
      <c r="AC23">
        <f>IF(F23="","",IFERROR(VLOOKUP(F23,Action_Templates!$A:$Q,14,FALSE),""))</f>
        <v/>
      </c>
      <c r="AD23">
        <f>IF(F23="","",IFERROR(VLOOKUP(F23,Action_Templates!$A:$Q,15,FALSE),""))</f>
        <v/>
      </c>
      <c r="AE23">
        <f>IF(O23="","",IF(OR(O23&lt;&gt;"Closed",AND(P23="YES",T23="Accepted")),"OK","BLOCKED"))</f>
        <v/>
      </c>
      <c r="AF23">
        <f>IF(OR(AC23="",R23=""),"",IF(ISNUMBER(SEARCH(AC23,R23)),"OK","CHECK"))</f>
        <v/>
      </c>
    </row>
    <row r="24">
      <c r="A24" t="inlineStr">
        <is>
          <t>ACT-00023</t>
        </is>
      </c>
      <c r="B24">
        <f>'Company_Profile'!B5</f>
        <v/>
      </c>
      <c r="C24">
        <f>'Company_Profile'!B2</f>
        <v/>
      </c>
      <c r="W24">
        <f>IF(AND(O24="Closed",AE24="OK"),TODAY(),"")</f>
        <v/>
      </c>
      <c r="AB24">
        <f>IF(F24="","",IFERROR(VLOOKUP(F24,Action_Templates!$A:$Q,13,FALSE),""))</f>
        <v/>
      </c>
      <c r="AC24">
        <f>IF(F24="","",IFERROR(VLOOKUP(F24,Action_Templates!$A:$Q,14,FALSE),""))</f>
        <v/>
      </c>
      <c r="AD24">
        <f>IF(F24="","",IFERROR(VLOOKUP(F24,Action_Templates!$A:$Q,15,FALSE),""))</f>
        <v/>
      </c>
      <c r="AE24">
        <f>IF(O24="","",IF(OR(O24&lt;&gt;"Closed",AND(P24="YES",T24="Accepted")),"OK","BLOCKED"))</f>
        <v/>
      </c>
      <c r="AF24">
        <f>IF(OR(AC24="",R24=""),"",IF(ISNUMBER(SEARCH(AC24,R24)),"OK","CHECK"))</f>
        <v/>
      </c>
    </row>
    <row r="25">
      <c r="A25" t="inlineStr">
        <is>
          <t>ACT-00024</t>
        </is>
      </c>
      <c r="B25">
        <f>'Company_Profile'!B5</f>
        <v/>
      </c>
      <c r="C25">
        <f>'Company_Profile'!B2</f>
        <v/>
      </c>
      <c r="W25">
        <f>IF(AND(O25="Closed",AE25="OK"),TODAY(),"")</f>
        <v/>
      </c>
      <c r="AB25">
        <f>IF(F25="","",IFERROR(VLOOKUP(F25,Action_Templates!$A:$Q,13,FALSE),""))</f>
        <v/>
      </c>
      <c r="AC25">
        <f>IF(F25="","",IFERROR(VLOOKUP(F25,Action_Templates!$A:$Q,14,FALSE),""))</f>
        <v/>
      </c>
      <c r="AD25">
        <f>IF(F25="","",IFERROR(VLOOKUP(F25,Action_Templates!$A:$Q,15,FALSE),""))</f>
        <v/>
      </c>
      <c r="AE25">
        <f>IF(O25="","",IF(OR(O25&lt;&gt;"Closed",AND(P25="YES",T25="Accepted")),"OK","BLOCKED"))</f>
        <v/>
      </c>
      <c r="AF25">
        <f>IF(OR(AC25="",R25=""),"",IF(ISNUMBER(SEARCH(AC25,R25)),"OK","CHECK"))</f>
        <v/>
      </c>
    </row>
    <row r="26">
      <c r="A26" t="inlineStr">
        <is>
          <t>ACT-00025</t>
        </is>
      </c>
      <c r="B26">
        <f>'Company_Profile'!B5</f>
        <v/>
      </c>
      <c r="C26">
        <f>'Company_Profile'!B2</f>
        <v/>
      </c>
      <c r="W26">
        <f>IF(AND(O26="Closed",AE26="OK"),TODAY(),"")</f>
        <v/>
      </c>
      <c r="AB26">
        <f>IF(F26="","",IFERROR(VLOOKUP(F26,Action_Templates!$A:$Q,13,FALSE),""))</f>
        <v/>
      </c>
      <c r="AC26">
        <f>IF(F26="","",IFERROR(VLOOKUP(F26,Action_Templates!$A:$Q,14,FALSE),""))</f>
        <v/>
      </c>
      <c r="AD26">
        <f>IF(F26="","",IFERROR(VLOOKUP(F26,Action_Templates!$A:$Q,15,FALSE),""))</f>
        <v/>
      </c>
      <c r="AE26">
        <f>IF(O26="","",IF(OR(O26&lt;&gt;"Closed",AND(P26="YES",T26="Accepted")),"OK","BLOCKED"))</f>
        <v/>
      </c>
      <c r="AF26">
        <f>IF(OR(AC26="",R26=""),"",IF(ISNUMBER(SEARCH(AC26,R26)),"OK","CHECK"))</f>
        <v/>
      </c>
    </row>
    <row r="27">
      <c r="A27" t="inlineStr">
        <is>
          <t>ACT-00026</t>
        </is>
      </c>
      <c r="B27">
        <f>'Company_Profile'!B5</f>
        <v/>
      </c>
      <c r="C27">
        <f>'Company_Profile'!B2</f>
        <v/>
      </c>
      <c r="W27">
        <f>IF(AND(O27="Closed",AE27="OK"),TODAY(),"")</f>
        <v/>
      </c>
      <c r="AB27">
        <f>IF(F27="","",IFERROR(VLOOKUP(F27,Action_Templates!$A:$Q,13,FALSE),""))</f>
        <v/>
      </c>
      <c r="AC27">
        <f>IF(F27="","",IFERROR(VLOOKUP(F27,Action_Templates!$A:$Q,14,FALSE),""))</f>
        <v/>
      </c>
      <c r="AD27">
        <f>IF(F27="","",IFERROR(VLOOKUP(F27,Action_Templates!$A:$Q,15,FALSE),""))</f>
        <v/>
      </c>
      <c r="AE27">
        <f>IF(O27="","",IF(OR(O27&lt;&gt;"Closed",AND(P27="YES",T27="Accepted")),"OK","BLOCKED"))</f>
        <v/>
      </c>
      <c r="AF27">
        <f>IF(OR(AC27="",R27=""),"",IF(ISNUMBER(SEARCH(AC27,R27)),"OK","CHECK"))</f>
        <v/>
      </c>
    </row>
    <row r="28">
      <c r="A28" t="inlineStr">
        <is>
          <t>ACT-00027</t>
        </is>
      </c>
      <c r="B28">
        <f>'Company_Profile'!B5</f>
        <v/>
      </c>
      <c r="C28">
        <f>'Company_Profile'!B2</f>
        <v/>
      </c>
      <c r="W28">
        <f>IF(AND(O28="Closed",AE28="OK"),TODAY(),"")</f>
        <v/>
      </c>
      <c r="AB28">
        <f>IF(F28="","",IFERROR(VLOOKUP(F28,Action_Templates!$A:$Q,13,FALSE),""))</f>
        <v/>
      </c>
      <c r="AC28">
        <f>IF(F28="","",IFERROR(VLOOKUP(F28,Action_Templates!$A:$Q,14,FALSE),""))</f>
        <v/>
      </c>
      <c r="AD28">
        <f>IF(F28="","",IFERROR(VLOOKUP(F28,Action_Templates!$A:$Q,15,FALSE),""))</f>
        <v/>
      </c>
      <c r="AE28">
        <f>IF(O28="","",IF(OR(O28&lt;&gt;"Closed",AND(P28="YES",T28="Accepted")),"OK","BLOCKED"))</f>
        <v/>
      </c>
      <c r="AF28">
        <f>IF(OR(AC28="",R28=""),"",IF(ISNUMBER(SEARCH(AC28,R28)),"OK","CHECK"))</f>
        <v/>
      </c>
    </row>
    <row r="29">
      <c r="A29" t="inlineStr">
        <is>
          <t>ACT-00028</t>
        </is>
      </c>
      <c r="B29">
        <f>'Company_Profile'!B5</f>
        <v/>
      </c>
      <c r="C29">
        <f>'Company_Profile'!B2</f>
        <v/>
      </c>
      <c r="W29">
        <f>IF(AND(O29="Closed",AE29="OK"),TODAY(),"")</f>
        <v/>
      </c>
      <c r="AB29">
        <f>IF(F29="","",IFERROR(VLOOKUP(F29,Action_Templates!$A:$Q,13,FALSE),""))</f>
        <v/>
      </c>
      <c r="AC29">
        <f>IF(F29="","",IFERROR(VLOOKUP(F29,Action_Templates!$A:$Q,14,FALSE),""))</f>
        <v/>
      </c>
      <c r="AD29">
        <f>IF(F29="","",IFERROR(VLOOKUP(F29,Action_Templates!$A:$Q,15,FALSE),""))</f>
        <v/>
      </c>
      <c r="AE29">
        <f>IF(O29="","",IF(OR(O29&lt;&gt;"Closed",AND(P29="YES",T29="Accepted")),"OK","BLOCKED"))</f>
        <v/>
      </c>
      <c r="AF29">
        <f>IF(OR(AC29="",R29=""),"",IF(ISNUMBER(SEARCH(AC29,R29)),"OK","CHECK"))</f>
        <v/>
      </c>
    </row>
    <row r="30">
      <c r="A30" t="inlineStr">
        <is>
          <t>ACT-00029</t>
        </is>
      </c>
      <c r="B30">
        <f>'Company_Profile'!B5</f>
        <v/>
      </c>
      <c r="C30">
        <f>'Company_Profile'!B2</f>
        <v/>
      </c>
      <c r="W30">
        <f>IF(AND(O30="Closed",AE30="OK"),TODAY(),"")</f>
        <v/>
      </c>
      <c r="AB30">
        <f>IF(F30="","",IFERROR(VLOOKUP(F30,Action_Templates!$A:$Q,13,FALSE),""))</f>
        <v/>
      </c>
      <c r="AC30">
        <f>IF(F30="","",IFERROR(VLOOKUP(F30,Action_Templates!$A:$Q,14,FALSE),""))</f>
        <v/>
      </c>
      <c r="AD30">
        <f>IF(F30="","",IFERROR(VLOOKUP(F30,Action_Templates!$A:$Q,15,FALSE),""))</f>
        <v/>
      </c>
      <c r="AE30">
        <f>IF(O30="","",IF(OR(O30&lt;&gt;"Closed",AND(P30="YES",T30="Accepted")),"OK","BLOCKED"))</f>
        <v/>
      </c>
      <c r="AF30">
        <f>IF(OR(AC30="",R30=""),"",IF(ISNUMBER(SEARCH(AC30,R30)),"OK","CHECK"))</f>
        <v/>
      </c>
    </row>
    <row r="31">
      <c r="A31" t="inlineStr">
        <is>
          <t>ACT-00030</t>
        </is>
      </c>
      <c r="B31">
        <f>'Company_Profile'!B5</f>
        <v/>
      </c>
      <c r="C31">
        <f>'Company_Profile'!B2</f>
        <v/>
      </c>
      <c r="W31">
        <f>IF(AND(O31="Closed",AE31="OK"),TODAY(),"")</f>
        <v/>
      </c>
      <c r="AB31">
        <f>IF(F31="","",IFERROR(VLOOKUP(F31,Action_Templates!$A:$Q,13,FALSE),""))</f>
        <v/>
      </c>
      <c r="AC31">
        <f>IF(F31="","",IFERROR(VLOOKUP(F31,Action_Templates!$A:$Q,14,FALSE),""))</f>
        <v/>
      </c>
      <c r="AD31">
        <f>IF(F31="","",IFERROR(VLOOKUP(F31,Action_Templates!$A:$Q,15,FALSE),""))</f>
        <v/>
      </c>
      <c r="AE31">
        <f>IF(O31="","",IF(OR(O31&lt;&gt;"Closed",AND(P31="YES",T31="Accepted")),"OK","BLOCKED"))</f>
        <v/>
      </c>
      <c r="AF31">
        <f>IF(OR(AC31="",R31=""),"",IF(ISNUMBER(SEARCH(AC31,R31)),"OK","CHECK"))</f>
        <v/>
      </c>
    </row>
    <row r="32">
      <c r="A32" t="inlineStr">
        <is>
          <t>ACT-00031</t>
        </is>
      </c>
      <c r="B32">
        <f>'Company_Profile'!B5</f>
        <v/>
      </c>
      <c r="C32">
        <f>'Company_Profile'!B2</f>
        <v/>
      </c>
      <c r="W32">
        <f>IF(AND(O32="Closed",AE32="OK"),TODAY(),"")</f>
        <v/>
      </c>
      <c r="AB32">
        <f>IF(F32="","",IFERROR(VLOOKUP(F32,Action_Templates!$A:$Q,13,FALSE),""))</f>
        <v/>
      </c>
      <c r="AC32">
        <f>IF(F32="","",IFERROR(VLOOKUP(F32,Action_Templates!$A:$Q,14,FALSE),""))</f>
        <v/>
      </c>
      <c r="AD32">
        <f>IF(F32="","",IFERROR(VLOOKUP(F32,Action_Templates!$A:$Q,15,FALSE),""))</f>
        <v/>
      </c>
      <c r="AE32">
        <f>IF(O32="","",IF(OR(O32&lt;&gt;"Closed",AND(P32="YES",T32="Accepted")),"OK","BLOCKED"))</f>
        <v/>
      </c>
      <c r="AF32">
        <f>IF(OR(AC32="",R32=""),"",IF(ISNUMBER(SEARCH(AC32,R32)),"OK","CHECK"))</f>
        <v/>
      </c>
    </row>
    <row r="33">
      <c r="A33" t="inlineStr">
        <is>
          <t>ACT-00032</t>
        </is>
      </c>
      <c r="B33">
        <f>'Company_Profile'!B5</f>
        <v/>
      </c>
      <c r="C33">
        <f>'Company_Profile'!B2</f>
        <v/>
      </c>
      <c r="W33">
        <f>IF(AND(O33="Closed",AE33="OK"),TODAY(),"")</f>
        <v/>
      </c>
      <c r="AB33">
        <f>IF(F33="","",IFERROR(VLOOKUP(F33,Action_Templates!$A:$Q,13,FALSE),""))</f>
        <v/>
      </c>
      <c r="AC33">
        <f>IF(F33="","",IFERROR(VLOOKUP(F33,Action_Templates!$A:$Q,14,FALSE),""))</f>
        <v/>
      </c>
      <c r="AD33">
        <f>IF(F33="","",IFERROR(VLOOKUP(F33,Action_Templates!$A:$Q,15,FALSE),""))</f>
        <v/>
      </c>
      <c r="AE33">
        <f>IF(O33="","",IF(OR(O33&lt;&gt;"Closed",AND(P33="YES",T33="Accepted")),"OK","BLOCKED"))</f>
        <v/>
      </c>
      <c r="AF33">
        <f>IF(OR(AC33="",R33=""),"",IF(ISNUMBER(SEARCH(AC33,R33)),"OK","CHECK"))</f>
        <v/>
      </c>
    </row>
    <row r="34">
      <c r="A34" t="inlineStr">
        <is>
          <t>ACT-00033</t>
        </is>
      </c>
      <c r="B34">
        <f>'Company_Profile'!B5</f>
        <v/>
      </c>
      <c r="C34">
        <f>'Company_Profile'!B2</f>
        <v/>
      </c>
      <c r="W34">
        <f>IF(AND(O34="Closed",AE34="OK"),TODAY(),"")</f>
        <v/>
      </c>
      <c r="AB34">
        <f>IF(F34="","",IFERROR(VLOOKUP(F34,Action_Templates!$A:$Q,13,FALSE),""))</f>
        <v/>
      </c>
      <c r="AC34">
        <f>IF(F34="","",IFERROR(VLOOKUP(F34,Action_Templates!$A:$Q,14,FALSE),""))</f>
        <v/>
      </c>
      <c r="AD34">
        <f>IF(F34="","",IFERROR(VLOOKUP(F34,Action_Templates!$A:$Q,15,FALSE),""))</f>
        <v/>
      </c>
      <c r="AE34">
        <f>IF(O34="","",IF(OR(O34&lt;&gt;"Closed",AND(P34="YES",T34="Accepted")),"OK","BLOCKED"))</f>
        <v/>
      </c>
      <c r="AF34">
        <f>IF(OR(AC34="",R34=""),"",IF(ISNUMBER(SEARCH(AC34,R34)),"OK","CHECK"))</f>
        <v/>
      </c>
    </row>
    <row r="35">
      <c r="A35" t="inlineStr">
        <is>
          <t>ACT-00034</t>
        </is>
      </c>
      <c r="B35">
        <f>'Company_Profile'!B5</f>
        <v/>
      </c>
      <c r="C35">
        <f>'Company_Profile'!B2</f>
        <v/>
      </c>
      <c r="W35">
        <f>IF(AND(O35="Closed",AE35="OK"),TODAY(),"")</f>
        <v/>
      </c>
      <c r="AB35">
        <f>IF(F35="","",IFERROR(VLOOKUP(F35,Action_Templates!$A:$Q,13,FALSE),""))</f>
        <v/>
      </c>
      <c r="AC35">
        <f>IF(F35="","",IFERROR(VLOOKUP(F35,Action_Templates!$A:$Q,14,FALSE),""))</f>
        <v/>
      </c>
      <c r="AD35">
        <f>IF(F35="","",IFERROR(VLOOKUP(F35,Action_Templates!$A:$Q,15,FALSE),""))</f>
        <v/>
      </c>
      <c r="AE35">
        <f>IF(O35="","",IF(OR(O35&lt;&gt;"Closed",AND(P35="YES",T35="Accepted")),"OK","BLOCKED"))</f>
        <v/>
      </c>
      <c r="AF35">
        <f>IF(OR(AC35="",R35=""),"",IF(ISNUMBER(SEARCH(AC35,R35)),"OK","CHECK"))</f>
        <v/>
      </c>
    </row>
    <row r="36">
      <c r="A36" t="inlineStr">
        <is>
          <t>ACT-00035</t>
        </is>
      </c>
      <c r="B36">
        <f>'Company_Profile'!B5</f>
        <v/>
      </c>
      <c r="C36">
        <f>'Company_Profile'!B2</f>
        <v/>
      </c>
      <c r="W36">
        <f>IF(AND(O36="Closed",AE36="OK"),TODAY(),"")</f>
        <v/>
      </c>
      <c r="AB36">
        <f>IF(F36="","",IFERROR(VLOOKUP(F36,Action_Templates!$A:$Q,13,FALSE),""))</f>
        <v/>
      </c>
      <c r="AC36">
        <f>IF(F36="","",IFERROR(VLOOKUP(F36,Action_Templates!$A:$Q,14,FALSE),""))</f>
        <v/>
      </c>
      <c r="AD36">
        <f>IF(F36="","",IFERROR(VLOOKUP(F36,Action_Templates!$A:$Q,15,FALSE),""))</f>
        <v/>
      </c>
      <c r="AE36">
        <f>IF(O36="","",IF(OR(O36&lt;&gt;"Closed",AND(P36="YES",T36="Accepted")),"OK","BLOCKED"))</f>
        <v/>
      </c>
      <c r="AF36">
        <f>IF(OR(AC36="",R36=""),"",IF(ISNUMBER(SEARCH(AC36,R36)),"OK","CHECK"))</f>
        <v/>
      </c>
    </row>
    <row r="37">
      <c r="A37" t="inlineStr">
        <is>
          <t>ACT-00036</t>
        </is>
      </c>
      <c r="B37">
        <f>'Company_Profile'!B5</f>
        <v/>
      </c>
      <c r="C37">
        <f>'Company_Profile'!B2</f>
        <v/>
      </c>
      <c r="W37">
        <f>IF(AND(O37="Closed",AE37="OK"),TODAY(),"")</f>
        <v/>
      </c>
      <c r="AB37">
        <f>IF(F37="","",IFERROR(VLOOKUP(F37,Action_Templates!$A:$Q,13,FALSE),""))</f>
        <v/>
      </c>
      <c r="AC37">
        <f>IF(F37="","",IFERROR(VLOOKUP(F37,Action_Templates!$A:$Q,14,FALSE),""))</f>
        <v/>
      </c>
      <c r="AD37">
        <f>IF(F37="","",IFERROR(VLOOKUP(F37,Action_Templates!$A:$Q,15,FALSE),""))</f>
        <v/>
      </c>
      <c r="AE37">
        <f>IF(O37="","",IF(OR(O37&lt;&gt;"Closed",AND(P37="YES",T37="Accepted")),"OK","BLOCKED"))</f>
        <v/>
      </c>
      <c r="AF37">
        <f>IF(OR(AC37="",R37=""),"",IF(ISNUMBER(SEARCH(AC37,R37)),"OK","CHECK"))</f>
        <v/>
      </c>
    </row>
    <row r="38">
      <c r="A38" t="inlineStr">
        <is>
          <t>ACT-00037</t>
        </is>
      </c>
      <c r="B38">
        <f>'Company_Profile'!B5</f>
        <v/>
      </c>
      <c r="C38">
        <f>'Company_Profile'!B2</f>
        <v/>
      </c>
      <c r="W38">
        <f>IF(AND(O38="Closed",AE38="OK"),TODAY(),"")</f>
        <v/>
      </c>
      <c r="AB38">
        <f>IF(F38="","",IFERROR(VLOOKUP(F38,Action_Templates!$A:$Q,13,FALSE),""))</f>
        <v/>
      </c>
      <c r="AC38">
        <f>IF(F38="","",IFERROR(VLOOKUP(F38,Action_Templates!$A:$Q,14,FALSE),""))</f>
        <v/>
      </c>
      <c r="AD38">
        <f>IF(F38="","",IFERROR(VLOOKUP(F38,Action_Templates!$A:$Q,15,FALSE),""))</f>
        <v/>
      </c>
      <c r="AE38">
        <f>IF(O38="","",IF(OR(O38&lt;&gt;"Closed",AND(P38="YES",T38="Accepted")),"OK","BLOCKED"))</f>
        <v/>
      </c>
      <c r="AF38">
        <f>IF(OR(AC38="",R38=""),"",IF(ISNUMBER(SEARCH(AC38,R38)),"OK","CHECK"))</f>
        <v/>
      </c>
    </row>
    <row r="39">
      <c r="A39" t="inlineStr">
        <is>
          <t>ACT-00038</t>
        </is>
      </c>
      <c r="B39">
        <f>'Company_Profile'!B5</f>
        <v/>
      </c>
      <c r="C39">
        <f>'Company_Profile'!B2</f>
        <v/>
      </c>
      <c r="W39">
        <f>IF(AND(O39="Closed",AE39="OK"),TODAY(),"")</f>
        <v/>
      </c>
      <c r="AB39">
        <f>IF(F39="","",IFERROR(VLOOKUP(F39,Action_Templates!$A:$Q,13,FALSE),""))</f>
        <v/>
      </c>
      <c r="AC39">
        <f>IF(F39="","",IFERROR(VLOOKUP(F39,Action_Templates!$A:$Q,14,FALSE),""))</f>
        <v/>
      </c>
      <c r="AD39">
        <f>IF(F39="","",IFERROR(VLOOKUP(F39,Action_Templates!$A:$Q,15,FALSE),""))</f>
        <v/>
      </c>
      <c r="AE39">
        <f>IF(O39="","",IF(OR(O39&lt;&gt;"Closed",AND(P39="YES",T39="Accepted")),"OK","BLOCKED"))</f>
        <v/>
      </c>
      <c r="AF39">
        <f>IF(OR(AC39="",R39=""),"",IF(ISNUMBER(SEARCH(AC39,R39)),"OK","CHECK"))</f>
        <v/>
      </c>
    </row>
    <row r="40">
      <c r="A40" t="inlineStr">
        <is>
          <t>ACT-00039</t>
        </is>
      </c>
      <c r="B40">
        <f>'Company_Profile'!B5</f>
        <v/>
      </c>
      <c r="C40">
        <f>'Company_Profile'!B2</f>
        <v/>
      </c>
      <c r="W40">
        <f>IF(AND(O40="Closed",AE40="OK"),TODAY(),"")</f>
        <v/>
      </c>
      <c r="AB40">
        <f>IF(F40="","",IFERROR(VLOOKUP(F40,Action_Templates!$A:$Q,13,FALSE),""))</f>
        <v/>
      </c>
      <c r="AC40">
        <f>IF(F40="","",IFERROR(VLOOKUP(F40,Action_Templates!$A:$Q,14,FALSE),""))</f>
        <v/>
      </c>
      <c r="AD40">
        <f>IF(F40="","",IFERROR(VLOOKUP(F40,Action_Templates!$A:$Q,15,FALSE),""))</f>
        <v/>
      </c>
      <c r="AE40">
        <f>IF(O40="","",IF(OR(O40&lt;&gt;"Closed",AND(P40="YES",T40="Accepted")),"OK","BLOCKED"))</f>
        <v/>
      </c>
      <c r="AF40">
        <f>IF(OR(AC40="",R40=""),"",IF(ISNUMBER(SEARCH(AC40,R40)),"OK","CHECK"))</f>
        <v/>
      </c>
    </row>
    <row r="41">
      <c r="A41" t="inlineStr">
        <is>
          <t>ACT-00040</t>
        </is>
      </c>
      <c r="B41">
        <f>'Company_Profile'!B5</f>
        <v/>
      </c>
      <c r="C41">
        <f>'Company_Profile'!B2</f>
        <v/>
      </c>
      <c r="W41">
        <f>IF(AND(O41="Closed",AE41="OK"),TODAY(),"")</f>
        <v/>
      </c>
      <c r="AB41">
        <f>IF(F41="","",IFERROR(VLOOKUP(F41,Action_Templates!$A:$Q,13,FALSE),""))</f>
        <v/>
      </c>
      <c r="AC41">
        <f>IF(F41="","",IFERROR(VLOOKUP(F41,Action_Templates!$A:$Q,14,FALSE),""))</f>
        <v/>
      </c>
      <c r="AD41">
        <f>IF(F41="","",IFERROR(VLOOKUP(F41,Action_Templates!$A:$Q,15,FALSE),""))</f>
        <v/>
      </c>
      <c r="AE41">
        <f>IF(O41="","",IF(OR(O41&lt;&gt;"Closed",AND(P41="YES",T41="Accepted")),"OK","BLOCKED"))</f>
        <v/>
      </c>
      <c r="AF41">
        <f>IF(OR(AC41="",R41=""),"",IF(ISNUMBER(SEARCH(AC41,R41)),"OK","CHECK"))</f>
        <v/>
      </c>
    </row>
    <row r="42">
      <c r="A42" t="inlineStr">
        <is>
          <t>ACT-00041</t>
        </is>
      </c>
      <c r="B42">
        <f>'Company_Profile'!B5</f>
        <v/>
      </c>
      <c r="C42">
        <f>'Company_Profile'!B2</f>
        <v/>
      </c>
      <c r="W42">
        <f>IF(AND(O42="Closed",AE42="OK"),TODAY(),"")</f>
        <v/>
      </c>
      <c r="AB42">
        <f>IF(F42="","",IFERROR(VLOOKUP(F42,Action_Templates!$A:$Q,13,FALSE),""))</f>
        <v/>
      </c>
      <c r="AC42">
        <f>IF(F42="","",IFERROR(VLOOKUP(F42,Action_Templates!$A:$Q,14,FALSE),""))</f>
        <v/>
      </c>
      <c r="AD42">
        <f>IF(F42="","",IFERROR(VLOOKUP(F42,Action_Templates!$A:$Q,15,FALSE),""))</f>
        <v/>
      </c>
      <c r="AE42">
        <f>IF(O42="","",IF(OR(O42&lt;&gt;"Closed",AND(P42="YES",T42="Accepted")),"OK","BLOCKED"))</f>
        <v/>
      </c>
      <c r="AF42">
        <f>IF(OR(AC42="",R42=""),"",IF(ISNUMBER(SEARCH(AC42,R42)),"OK","CHECK"))</f>
        <v/>
      </c>
    </row>
    <row r="43">
      <c r="A43" t="inlineStr">
        <is>
          <t>ACT-00042</t>
        </is>
      </c>
      <c r="B43">
        <f>'Company_Profile'!B5</f>
        <v/>
      </c>
      <c r="C43">
        <f>'Company_Profile'!B2</f>
        <v/>
      </c>
      <c r="W43">
        <f>IF(AND(O43="Closed",AE43="OK"),TODAY(),"")</f>
        <v/>
      </c>
      <c r="AB43">
        <f>IF(F43="","",IFERROR(VLOOKUP(F43,Action_Templates!$A:$Q,13,FALSE),""))</f>
        <v/>
      </c>
      <c r="AC43">
        <f>IF(F43="","",IFERROR(VLOOKUP(F43,Action_Templates!$A:$Q,14,FALSE),""))</f>
        <v/>
      </c>
      <c r="AD43">
        <f>IF(F43="","",IFERROR(VLOOKUP(F43,Action_Templates!$A:$Q,15,FALSE),""))</f>
        <v/>
      </c>
      <c r="AE43">
        <f>IF(O43="","",IF(OR(O43&lt;&gt;"Closed",AND(P43="YES",T43="Accepted")),"OK","BLOCKED"))</f>
        <v/>
      </c>
      <c r="AF43">
        <f>IF(OR(AC43="",R43=""),"",IF(ISNUMBER(SEARCH(AC43,R43)),"OK","CHECK"))</f>
        <v/>
      </c>
    </row>
    <row r="44">
      <c r="A44" t="inlineStr">
        <is>
          <t>ACT-00043</t>
        </is>
      </c>
      <c r="B44">
        <f>'Company_Profile'!B5</f>
        <v/>
      </c>
      <c r="C44">
        <f>'Company_Profile'!B2</f>
        <v/>
      </c>
      <c r="W44">
        <f>IF(AND(O44="Closed",AE44="OK"),TODAY(),"")</f>
        <v/>
      </c>
      <c r="AB44">
        <f>IF(F44="","",IFERROR(VLOOKUP(F44,Action_Templates!$A:$Q,13,FALSE),""))</f>
        <v/>
      </c>
      <c r="AC44">
        <f>IF(F44="","",IFERROR(VLOOKUP(F44,Action_Templates!$A:$Q,14,FALSE),""))</f>
        <v/>
      </c>
      <c r="AD44">
        <f>IF(F44="","",IFERROR(VLOOKUP(F44,Action_Templates!$A:$Q,15,FALSE),""))</f>
        <v/>
      </c>
      <c r="AE44">
        <f>IF(O44="","",IF(OR(O44&lt;&gt;"Closed",AND(P44="YES",T44="Accepted")),"OK","BLOCKED"))</f>
        <v/>
      </c>
      <c r="AF44">
        <f>IF(OR(AC44="",R44=""),"",IF(ISNUMBER(SEARCH(AC44,R44)),"OK","CHECK"))</f>
        <v/>
      </c>
    </row>
    <row r="45">
      <c r="A45" t="inlineStr">
        <is>
          <t>ACT-00044</t>
        </is>
      </c>
      <c r="B45">
        <f>'Company_Profile'!B5</f>
        <v/>
      </c>
      <c r="C45">
        <f>'Company_Profile'!B2</f>
        <v/>
      </c>
      <c r="W45">
        <f>IF(AND(O45="Closed",AE45="OK"),TODAY(),"")</f>
        <v/>
      </c>
      <c r="AB45">
        <f>IF(F45="","",IFERROR(VLOOKUP(F45,Action_Templates!$A:$Q,13,FALSE),""))</f>
        <v/>
      </c>
      <c r="AC45">
        <f>IF(F45="","",IFERROR(VLOOKUP(F45,Action_Templates!$A:$Q,14,FALSE),""))</f>
        <v/>
      </c>
      <c r="AD45">
        <f>IF(F45="","",IFERROR(VLOOKUP(F45,Action_Templates!$A:$Q,15,FALSE),""))</f>
        <v/>
      </c>
      <c r="AE45">
        <f>IF(O45="","",IF(OR(O45&lt;&gt;"Closed",AND(P45="YES",T45="Accepted")),"OK","BLOCKED"))</f>
        <v/>
      </c>
      <c r="AF45">
        <f>IF(OR(AC45="",R45=""),"",IF(ISNUMBER(SEARCH(AC45,R45)),"OK","CHECK"))</f>
        <v/>
      </c>
    </row>
    <row r="46">
      <c r="A46" t="inlineStr">
        <is>
          <t>ACT-00045</t>
        </is>
      </c>
      <c r="B46">
        <f>'Company_Profile'!B5</f>
        <v/>
      </c>
      <c r="C46">
        <f>'Company_Profile'!B2</f>
        <v/>
      </c>
      <c r="W46">
        <f>IF(AND(O46="Closed",AE46="OK"),TODAY(),"")</f>
        <v/>
      </c>
      <c r="AB46">
        <f>IF(F46="","",IFERROR(VLOOKUP(F46,Action_Templates!$A:$Q,13,FALSE),""))</f>
        <v/>
      </c>
      <c r="AC46">
        <f>IF(F46="","",IFERROR(VLOOKUP(F46,Action_Templates!$A:$Q,14,FALSE),""))</f>
        <v/>
      </c>
      <c r="AD46">
        <f>IF(F46="","",IFERROR(VLOOKUP(F46,Action_Templates!$A:$Q,15,FALSE),""))</f>
        <v/>
      </c>
      <c r="AE46">
        <f>IF(O46="","",IF(OR(O46&lt;&gt;"Closed",AND(P46="YES",T46="Accepted")),"OK","BLOCKED"))</f>
        <v/>
      </c>
      <c r="AF46">
        <f>IF(OR(AC46="",R46=""),"",IF(ISNUMBER(SEARCH(AC46,R46)),"OK","CHECK"))</f>
        <v/>
      </c>
    </row>
    <row r="47">
      <c r="A47" t="inlineStr">
        <is>
          <t>ACT-00046</t>
        </is>
      </c>
      <c r="B47">
        <f>'Company_Profile'!B5</f>
        <v/>
      </c>
      <c r="C47">
        <f>'Company_Profile'!B2</f>
        <v/>
      </c>
      <c r="W47">
        <f>IF(AND(O47="Closed",AE47="OK"),TODAY(),"")</f>
        <v/>
      </c>
      <c r="AB47">
        <f>IF(F47="","",IFERROR(VLOOKUP(F47,Action_Templates!$A:$Q,13,FALSE),""))</f>
        <v/>
      </c>
      <c r="AC47">
        <f>IF(F47="","",IFERROR(VLOOKUP(F47,Action_Templates!$A:$Q,14,FALSE),""))</f>
        <v/>
      </c>
      <c r="AD47">
        <f>IF(F47="","",IFERROR(VLOOKUP(F47,Action_Templates!$A:$Q,15,FALSE),""))</f>
        <v/>
      </c>
      <c r="AE47">
        <f>IF(O47="","",IF(OR(O47&lt;&gt;"Closed",AND(P47="YES",T47="Accepted")),"OK","BLOCKED"))</f>
        <v/>
      </c>
      <c r="AF47">
        <f>IF(OR(AC47="",R47=""),"",IF(ISNUMBER(SEARCH(AC47,R47)),"OK","CHECK"))</f>
        <v/>
      </c>
    </row>
    <row r="48">
      <c r="A48" t="inlineStr">
        <is>
          <t>ACT-00047</t>
        </is>
      </c>
      <c r="B48">
        <f>'Company_Profile'!B5</f>
        <v/>
      </c>
      <c r="C48">
        <f>'Company_Profile'!B2</f>
        <v/>
      </c>
      <c r="W48">
        <f>IF(AND(O48="Closed",AE48="OK"),TODAY(),"")</f>
        <v/>
      </c>
      <c r="AB48">
        <f>IF(F48="","",IFERROR(VLOOKUP(F48,Action_Templates!$A:$Q,13,FALSE),""))</f>
        <v/>
      </c>
      <c r="AC48">
        <f>IF(F48="","",IFERROR(VLOOKUP(F48,Action_Templates!$A:$Q,14,FALSE),""))</f>
        <v/>
      </c>
      <c r="AD48">
        <f>IF(F48="","",IFERROR(VLOOKUP(F48,Action_Templates!$A:$Q,15,FALSE),""))</f>
        <v/>
      </c>
      <c r="AE48">
        <f>IF(O48="","",IF(OR(O48&lt;&gt;"Closed",AND(P48="YES",T48="Accepted")),"OK","BLOCKED"))</f>
        <v/>
      </c>
      <c r="AF48">
        <f>IF(OR(AC48="",R48=""),"",IF(ISNUMBER(SEARCH(AC48,R48)),"OK","CHECK"))</f>
        <v/>
      </c>
    </row>
    <row r="49">
      <c r="A49" t="inlineStr">
        <is>
          <t>ACT-00048</t>
        </is>
      </c>
      <c r="B49">
        <f>'Company_Profile'!B5</f>
        <v/>
      </c>
      <c r="C49">
        <f>'Company_Profile'!B2</f>
        <v/>
      </c>
      <c r="W49">
        <f>IF(AND(O49="Closed",AE49="OK"),TODAY(),"")</f>
        <v/>
      </c>
      <c r="AB49">
        <f>IF(F49="","",IFERROR(VLOOKUP(F49,Action_Templates!$A:$Q,13,FALSE),""))</f>
        <v/>
      </c>
      <c r="AC49">
        <f>IF(F49="","",IFERROR(VLOOKUP(F49,Action_Templates!$A:$Q,14,FALSE),""))</f>
        <v/>
      </c>
      <c r="AD49">
        <f>IF(F49="","",IFERROR(VLOOKUP(F49,Action_Templates!$A:$Q,15,FALSE),""))</f>
        <v/>
      </c>
      <c r="AE49">
        <f>IF(O49="","",IF(OR(O49&lt;&gt;"Closed",AND(P49="YES",T49="Accepted")),"OK","BLOCKED"))</f>
        <v/>
      </c>
      <c r="AF49">
        <f>IF(OR(AC49="",R49=""),"",IF(ISNUMBER(SEARCH(AC49,R49)),"OK","CHECK"))</f>
        <v/>
      </c>
    </row>
    <row r="50">
      <c r="A50" t="inlineStr">
        <is>
          <t>ACT-00049</t>
        </is>
      </c>
      <c r="B50">
        <f>'Company_Profile'!B5</f>
        <v/>
      </c>
      <c r="C50">
        <f>'Company_Profile'!B2</f>
        <v/>
      </c>
      <c r="W50">
        <f>IF(AND(O50="Closed",AE50="OK"),TODAY(),"")</f>
        <v/>
      </c>
      <c r="AB50">
        <f>IF(F50="","",IFERROR(VLOOKUP(F50,Action_Templates!$A:$Q,13,FALSE),""))</f>
        <v/>
      </c>
      <c r="AC50">
        <f>IF(F50="","",IFERROR(VLOOKUP(F50,Action_Templates!$A:$Q,14,FALSE),""))</f>
        <v/>
      </c>
      <c r="AD50">
        <f>IF(F50="","",IFERROR(VLOOKUP(F50,Action_Templates!$A:$Q,15,FALSE),""))</f>
        <v/>
      </c>
      <c r="AE50">
        <f>IF(O50="","",IF(OR(O50&lt;&gt;"Closed",AND(P50="YES",T50="Accepted")),"OK","BLOCKED"))</f>
        <v/>
      </c>
      <c r="AF50">
        <f>IF(OR(AC50="",R50=""),"",IF(ISNUMBER(SEARCH(AC50,R50)),"OK","CHECK"))</f>
        <v/>
      </c>
    </row>
    <row r="51">
      <c r="A51" t="inlineStr">
        <is>
          <t>ACT-00050</t>
        </is>
      </c>
      <c r="B51">
        <f>'Company_Profile'!B5</f>
        <v/>
      </c>
      <c r="C51">
        <f>'Company_Profile'!B2</f>
        <v/>
      </c>
      <c r="W51">
        <f>IF(AND(O51="Closed",AE51="OK"),TODAY(),"")</f>
        <v/>
      </c>
      <c r="AB51">
        <f>IF(F51="","",IFERROR(VLOOKUP(F51,Action_Templates!$A:$Q,13,FALSE),""))</f>
        <v/>
      </c>
      <c r="AC51">
        <f>IF(F51="","",IFERROR(VLOOKUP(F51,Action_Templates!$A:$Q,14,FALSE),""))</f>
        <v/>
      </c>
      <c r="AD51">
        <f>IF(F51="","",IFERROR(VLOOKUP(F51,Action_Templates!$A:$Q,15,FALSE),""))</f>
        <v/>
      </c>
      <c r="AE51">
        <f>IF(O51="","",IF(OR(O51&lt;&gt;"Closed",AND(P51="YES",T51="Accepted")),"OK","BLOCKED"))</f>
        <v/>
      </c>
      <c r="AF51">
        <f>IF(OR(AC51="",R51=""),"",IF(ISNUMBER(SEARCH(AC51,R51)),"OK","CHECK"))</f>
        <v/>
      </c>
    </row>
    <row r="52">
      <c r="A52" t="inlineStr">
        <is>
          <t>ACT-00051</t>
        </is>
      </c>
      <c r="B52">
        <f>'Company_Profile'!B5</f>
        <v/>
      </c>
      <c r="C52">
        <f>'Company_Profile'!B2</f>
        <v/>
      </c>
      <c r="W52">
        <f>IF(AND(O52="Closed",AE52="OK"),TODAY(),"")</f>
        <v/>
      </c>
      <c r="AB52">
        <f>IF(F52="","",IFERROR(VLOOKUP(F52,Action_Templates!$A:$Q,13,FALSE),""))</f>
        <v/>
      </c>
      <c r="AC52">
        <f>IF(F52="","",IFERROR(VLOOKUP(F52,Action_Templates!$A:$Q,14,FALSE),""))</f>
        <v/>
      </c>
      <c r="AD52">
        <f>IF(F52="","",IFERROR(VLOOKUP(F52,Action_Templates!$A:$Q,15,FALSE),""))</f>
        <v/>
      </c>
      <c r="AE52">
        <f>IF(O52="","",IF(OR(O52&lt;&gt;"Closed",AND(P52="YES",T52="Accepted")),"OK","BLOCKED"))</f>
        <v/>
      </c>
      <c r="AF52">
        <f>IF(OR(AC52="",R52=""),"",IF(ISNUMBER(SEARCH(AC52,R52)),"OK","CHECK"))</f>
        <v/>
      </c>
    </row>
    <row r="53">
      <c r="A53" t="inlineStr">
        <is>
          <t>ACT-00052</t>
        </is>
      </c>
      <c r="B53">
        <f>'Company_Profile'!B5</f>
        <v/>
      </c>
      <c r="C53">
        <f>'Company_Profile'!B2</f>
        <v/>
      </c>
      <c r="W53">
        <f>IF(AND(O53="Closed",AE53="OK"),TODAY(),"")</f>
        <v/>
      </c>
      <c r="AB53">
        <f>IF(F53="","",IFERROR(VLOOKUP(F53,Action_Templates!$A:$Q,13,FALSE),""))</f>
        <v/>
      </c>
      <c r="AC53">
        <f>IF(F53="","",IFERROR(VLOOKUP(F53,Action_Templates!$A:$Q,14,FALSE),""))</f>
        <v/>
      </c>
      <c r="AD53">
        <f>IF(F53="","",IFERROR(VLOOKUP(F53,Action_Templates!$A:$Q,15,FALSE),""))</f>
        <v/>
      </c>
      <c r="AE53">
        <f>IF(O53="","",IF(OR(O53&lt;&gt;"Closed",AND(P53="YES",T53="Accepted")),"OK","BLOCKED"))</f>
        <v/>
      </c>
      <c r="AF53">
        <f>IF(OR(AC53="",R53=""),"",IF(ISNUMBER(SEARCH(AC53,R53)),"OK","CHECK"))</f>
        <v/>
      </c>
    </row>
    <row r="54">
      <c r="A54" t="inlineStr">
        <is>
          <t>ACT-00053</t>
        </is>
      </c>
      <c r="B54">
        <f>'Company_Profile'!B5</f>
        <v/>
      </c>
      <c r="C54">
        <f>'Company_Profile'!B2</f>
        <v/>
      </c>
      <c r="W54">
        <f>IF(AND(O54="Closed",AE54="OK"),TODAY(),"")</f>
        <v/>
      </c>
      <c r="AB54">
        <f>IF(F54="","",IFERROR(VLOOKUP(F54,Action_Templates!$A:$Q,13,FALSE),""))</f>
        <v/>
      </c>
      <c r="AC54">
        <f>IF(F54="","",IFERROR(VLOOKUP(F54,Action_Templates!$A:$Q,14,FALSE),""))</f>
        <v/>
      </c>
      <c r="AD54">
        <f>IF(F54="","",IFERROR(VLOOKUP(F54,Action_Templates!$A:$Q,15,FALSE),""))</f>
        <v/>
      </c>
      <c r="AE54">
        <f>IF(O54="","",IF(OR(O54&lt;&gt;"Closed",AND(P54="YES",T54="Accepted")),"OK","BLOCKED"))</f>
        <v/>
      </c>
      <c r="AF54">
        <f>IF(OR(AC54="",R54=""),"",IF(ISNUMBER(SEARCH(AC54,R54)),"OK","CHECK"))</f>
        <v/>
      </c>
    </row>
    <row r="55">
      <c r="A55" t="inlineStr">
        <is>
          <t>ACT-00054</t>
        </is>
      </c>
      <c r="B55">
        <f>'Company_Profile'!B5</f>
        <v/>
      </c>
      <c r="C55">
        <f>'Company_Profile'!B2</f>
        <v/>
      </c>
      <c r="W55">
        <f>IF(AND(O55="Closed",AE55="OK"),TODAY(),"")</f>
        <v/>
      </c>
      <c r="AB55">
        <f>IF(F55="","",IFERROR(VLOOKUP(F55,Action_Templates!$A:$Q,13,FALSE),""))</f>
        <v/>
      </c>
      <c r="AC55">
        <f>IF(F55="","",IFERROR(VLOOKUP(F55,Action_Templates!$A:$Q,14,FALSE),""))</f>
        <v/>
      </c>
      <c r="AD55">
        <f>IF(F55="","",IFERROR(VLOOKUP(F55,Action_Templates!$A:$Q,15,FALSE),""))</f>
        <v/>
      </c>
      <c r="AE55">
        <f>IF(O55="","",IF(OR(O55&lt;&gt;"Closed",AND(P55="YES",T55="Accepted")),"OK","BLOCKED"))</f>
        <v/>
      </c>
      <c r="AF55">
        <f>IF(OR(AC55="",R55=""),"",IF(ISNUMBER(SEARCH(AC55,R55)),"OK","CHECK"))</f>
        <v/>
      </c>
    </row>
    <row r="56">
      <c r="A56" t="inlineStr">
        <is>
          <t>ACT-00055</t>
        </is>
      </c>
      <c r="B56">
        <f>'Company_Profile'!B5</f>
        <v/>
      </c>
      <c r="C56">
        <f>'Company_Profile'!B2</f>
        <v/>
      </c>
      <c r="W56">
        <f>IF(AND(O56="Closed",AE56="OK"),TODAY(),"")</f>
        <v/>
      </c>
      <c r="AB56">
        <f>IF(F56="","",IFERROR(VLOOKUP(F56,Action_Templates!$A:$Q,13,FALSE),""))</f>
        <v/>
      </c>
      <c r="AC56">
        <f>IF(F56="","",IFERROR(VLOOKUP(F56,Action_Templates!$A:$Q,14,FALSE),""))</f>
        <v/>
      </c>
      <c r="AD56">
        <f>IF(F56="","",IFERROR(VLOOKUP(F56,Action_Templates!$A:$Q,15,FALSE),""))</f>
        <v/>
      </c>
      <c r="AE56">
        <f>IF(O56="","",IF(OR(O56&lt;&gt;"Closed",AND(P56="YES",T56="Accepted")),"OK","BLOCKED"))</f>
        <v/>
      </c>
      <c r="AF56">
        <f>IF(OR(AC56="",R56=""),"",IF(ISNUMBER(SEARCH(AC56,R56)),"OK","CHECK"))</f>
        <v/>
      </c>
    </row>
    <row r="57">
      <c r="A57" t="inlineStr">
        <is>
          <t>ACT-00056</t>
        </is>
      </c>
      <c r="B57">
        <f>'Company_Profile'!B5</f>
        <v/>
      </c>
      <c r="C57">
        <f>'Company_Profile'!B2</f>
        <v/>
      </c>
      <c r="W57">
        <f>IF(AND(O57="Closed",AE57="OK"),TODAY(),"")</f>
        <v/>
      </c>
      <c r="AB57">
        <f>IF(F57="","",IFERROR(VLOOKUP(F57,Action_Templates!$A:$Q,13,FALSE),""))</f>
        <v/>
      </c>
      <c r="AC57">
        <f>IF(F57="","",IFERROR(VLOOKUP(F57,Action_Templates!$A:$Q,14,FALSE),""))</f>
        <v/>
      </c>
      <c r="AD57">
        <f>IF(F57="","",IFERROR(VLOOKUP(F57,Action_Templates!$A:$Q,15,FALSE),""))</f>
        <v/>
      </c>
      <c r="AE57">
        <f>IF(O57="","",IF(OR(O57&lt;&gt;"Closed",AND(P57="YES",T57="Accepted")),"OK","BLOCKED"))</f>
        <v/>
      </c>
      <c r="AF57">
        <f>IF(OR(AC57="",R57=""),"",IF(ISNUMBER(SEARCH(AC57,R57)),"OK","CHECK"))</f>
        <v/>
      </c>
    </row>
    <row r="58">
      <c r="A58" t="inlineStr">
        <is>
          <t>ACT-00057</t>
        </is>
      </c>
      <c r="B58">
        <f>'Company_Profile'!B5</f>
        <v/>
      </c>
      <c r="C58">
        <f>'Company_Profile'!B2</f>
        <v/>
      </c>
      <c r="W58">
        <f>IF(AND(O58="Closed",AE58="OK"),TODAY(),"")</f>
        <v/>
      </c>
      <c r="AB58">
        <f>IF(F58="","",IFERROR(VLOOKUP(F58,Action_Templates!$A:$Q,13,FALSE),""))</f>
        <v/>
      </c>
      <c r="AC58">
        <f>IF(F58="","",IFERROR(VLOOKUP(F58,Action_Templates!$A:$Q,14,FALSE),""))</f>
        <v/>
      </c>
      <c r="AD58">
        <f>IF(F58="","",IFERROR(VLOOKUP(F58,Action_Templates!$A:$Q,15,FALSE),""))</f>
        <v/>
      </c>
      <c r="AE58">
        <f>IF(O58="","",IF(OR(O58&lt;&gt;"Closed",AND(P58="YES",T58="Accepted")),"OK","BLOCKED"))</f>
        <v/>
      </c>
      <c r="AF58">
        <f>IF(OR(AC58="",R58=""),"",IF(ISNUMBER(SEARCH(AC58,R58)),"OK","CHECK"))</f>
        <v/>
      </c>
    </row>
    <row r="59">
      <c r="A59" t="inlineStr">
        <is>
          <t>ACT-00058</t>
        </is>
      </c>
      <c r="B59">
        <f>'Company_Profile'!B5</f>
        <v/>
      </c>
      <c r="C59">
        <f>'Company_Profile'!B2</f>
        <v/>
      </c>
      <c r="W59">
        <f>IF(AND(O59="Closed",AE59="OK"),TODAY(),"")</f>
        <v/>
      </c>
      <c r="AB59">
        <f>IF(F59="","",IFERROR(VLOOKUP(F59,Action_Templates!$A:$Q,13,FALSE),""))</f>
        <v/>
      </c>
      <c r="AC59">
        <f>IF(F59="","",IFERROR(VLOOKUP(F59,Action_Templates!$A:$Q,14,FALSE),""))</f>
        <v/>
      </c>
      <c r="AD59">
        <f>IF(F59="","",IFERROR(VLOOKUP(F59,Action_Templates!$A:$Q,15,FALSE),""))</f>
        <v/>
      </c>
      <c r="AE59">
        <f>IF(O59="","",IF(OR(O59&lt;&gt;"Closed",AND(P59="YES",T59="Accepted")),"OK","BLOCKED"))</f>
        <v/>
      </c>
      <c r="AF59">
        <f>IF(OR(AC59="",R59=""),"",IF(ISNUMBER(SEARCH(AC59,R59)),"OK","CHECK"))</f>
        <v/>
      </c>
    </row>
    <row r="60">
      <c r="A60" t="inlineStr">
        <is>
          <t>ACT-00059</t>
        </is>
      </c>
      <c r="B60">
        <f>'Company_Profile'!B5</f>
        <v/>
      </c>
      <c r="C60">
        <f>'Company_Profile'!B2</f>
        <v/>
      </c>
      <c r="W60">
        <f>IF(AND(O60="Closed",AE60="OK"),TODAY(),"")</f>
        <v/>
      </c>
      <c r="AB60">
        <f>IF(F60="","",IFERROR(VLOOKUP(F60,Action_Templates!$A:$Q,13,FALSE),""))</f>
        <v/>
      </c>
      <c r="AC60">
        <f>IF(F60="","",IFERROR(VLOOKUP(F60,Action_Templates!$A:$Q,14,FALSE),""))</f>
        <v/>
      </c>
      <c r="AD60">
        <f>IF(F60="","",IFERROR(VLOOKUP(F60,Action_Templates!$A:$Q,15,FALSE),""))</f>
        <v/>
      </c>
      <c r="AE60">
        <f>IF(O60="","",IF(OR(O60&lt;&gt;"Closed",AND(P60="YES",T60="Accepted")),"OK","BLOCKED"))</f>
        <v/>
      </c>
      <c r="AF60">
        <f>IF(OR(AC60="",R60=""),"",IF(ISNUMBER(SEARCH(AC60,R60)),"OK","CHECK"))</f>
        <v/>
      </c>
    </row>
    <row r="61">
      <c r="A61" t="inlineStr">
        <is>
          <t>ACT-00060</t>
        </is>
      </c>
      <c r="B61">
        <f>'Company_Profile'!B5</f>
        <v/>
      </c>
      <c r="C61">
        <f>'Company_Profile'!B2</f>
        <v/>
      </c>
      <c r="W61">
        <f>IF(AND(O61="Closed",AE61="OK"),TODAY(),"")</f>
        <v/>
      </c>
      <c r="AB61">
        <f>IF(F61="","",IFERROR(VLOOKUP(F61,Action_Templates!$A:$Q,13,FALSE),""))</f>
        <v/>
      </c>
      <c r="AC61">
        <f>IF(F61="","",IFERROR(VLOOKUP(F61,Action_Templates!$A:$Q,14,FALSE),""))</f>
        <v/>
      </c>
      <c r="AD61">
        <f>IF(F61="","",IFERROR(VLOOKUP(F61,Action_Templates!$A:$Q,15,FALSE),""))</f>
        <v/>
      </c>
      <c r="AE61">
        <f>IF(O61="","",IF(OR(O61&lt;&gt;"Closed",AND(P61="YES",T61="Accepted")),"OK","BLOCKED"))</f>
        <v/>
      </c>
      <c r="AF61">
        <f>IF(OR(AC61="",R61=""),"",IF(ISNUMBER(SEARCH(AC61,R61)),"OK","CHECK"))</f>
        <v/>
      </c>
    </row>
    <row r="62">
      <c r="A62" t="inlineStr">
        <is>
          <t>ACT-00061</t>
        </is>
      </c>
      <c r="B62">
        <f>'Company_Profile'!B5</f>
        <v/>
      </c>
      <c r="C62">
        <f>'Company_Profile'!B2</f>
        <v/>
      </c>
      <c r="W62">
        <f>IF(AND(O62="Closed",AE62="OK"),TODAY(),"")</f>
        <v/>
      </c>
      <c r="AB62">
        <f>IF(F62="","",IFERROR(VLOOKUP(F62,Action_Templates!$A:$Q,13,FALSE),""))</f>
        <v/>
      </c>
      <c r="AC62">
        <f>IF(F62="","",IFERROR(VLOOKUP(F62,Action_Templates!$A:$Q,14,FALSE),""))</f>
        <v/>
      </c>
      <c r="AD62">
        <f>IF(F62="","",IFERROR(VLOOKUP(F62,Action_Templates!$A:$Q,15,FALSE),""))</f>
        <v/>
      </c>
      <c r="AE62">
        <f>IF(O62="","",IF(OR(O62&lt;&gt;"Closed",AND(P62="YES",T62="Accepted")),"OK","BLOCKED"))</f>
        <v/>
      </c>
      <c r="AF62">
        <f>IF(OR(AC62="",R62=""),"",IF(ISNUMBER(SEARCH(AC62,R62)),"OK","CHECK"))</f>
        <v/>
      </c>
    </row>
    <row r="63">
      <c r="A63" t="inlineStr">
        <is>
          <t>ACT-00062</t>
        </is>
      </c>
      <c r="B63">
        <f>'Company_Profile'!B5</f>
        <v/>
      </c>
      <c r="C63">
        <f>'Company_Profile'!B2</f>
        <v/>
      </c>
      <c r="W63">
        <f>IF(AND(O63="Closed",AE63="OK"),TODAY(),"")</f>
        <v/>
      </c>
      <c r="AB63">
        <f>IF(F63="","",IFERROR(VLOOKUP(F63,Action_Templates!$A:$Q,13,FALSE),""))</f>
        <v/>
      </c>
      <c r="AC63">
        <f>IF(F63="","",IFERROR(VLOOKUP(F63,Action_Templates!$A:$Q,14,FALSE),""))</f>
        <v/>
      </c>
      <c r="AD63">
        <f>IF(F63="","",IFERROR(VLOOKUP(F63,Action_Templates!$A:$Q,15,FALSE),""))</f>
        <v/>
      </c>
      <c r="AE63">
        <f>IF(O63="","",IF(OR(O63&lt;&gt;"Closed",AND(P63="YES",T63="Accepted")),"OK","BLOCKED"))</f>
        <v/>
      </c>
      <c r="AF63">
        <f>IF(OR(AC63="",R63=""),"",IF(ISNUMBER(SEARCH(AC63,R63)),"OK","CHECK"))</f>
        <v/>
      </c>
    </row>
    <row r="64">
      <c r="A64" t="inlineStr">
        <is>
          <t>ACT-00063</t>
        </is>
      </c>
      <c r="B64">
        <f>'Company_Profile'!B5</f>
        <v/>
      </c>
      <c r="C64">
        <f>'Company_Profile'!B2</f>
        <v/>
      </c>
      <c r="W64">
        <f>IF(AND(O64="Closed",AE64="OK"),TODAY(),"")</f>
        <v/>
      </c>
      <c r="AB64">
        <f>IF(F64="","",IFERROR(VLOOKUP(F64,Action_Templates!$A:$Q,13,FALSE),""))</f>
        <v/>
      </c>
      <c r="AC64">
        <f>IF(F64="","",IFERROR(VLOOKUP(F64,Action_Templates!$A:$Q,14,FALSE),""))</f>
        <v/>
      </c>
      <c r="AD64">
        <f>IF(F64="","",IFERROR(VLOOKUP(F64,Action_Templates!$A:$Q,15,FALSE),""))</f>
        <v/>
      </c>
      <c r="AE64">
        <f>IF(O64="","",IF(OR(O64&lt;&gt;"Closed",AND(P64="YES",T64="Accepted")),"OK","BLOCKED"))</f>
        <v/>
      </c>
      <c r="AF64">
        <f>IF(OR(AC64="",R64=""),"",IF(ISNUMBER(SEARCH(AC64,R64)),"OK","CHECK"))</f>
        <v/>
      </c>
    </row>
    <row r="65">
      <c r="A65" t="inlineStr">
        <is>
          <t>ACT-00064</t>
        </is>
      </c>
      <c r="B65">
        <f>'Company_Profile'!B5</f>
        <v/>
      </c>
      <c r="C65">
        <f>'Company_Profile'!B2</f>
        <v/>
      </c>
      <c r="W65">
        <f>IF(AND(O65="Closed",AE65="OK"),TODAY(),"")</f>
        <v/>
      </c>
      <c r="AB65">
        <f>IF(F65="","",IFERROR(VLOOKUP(F65,Action_Templates!$A:$Q,13,FALSE),""))</f>
        <v/>
      </c>
      <c r="AC65">
        <f>IF(F65="","",IFERROR(VLOOKUP(F65,Action_Templates!$A:$Q,14,FALSE),""))</f>
        <v/>
      </c>
      <c r="AD65">
        <f>IF(F65="","",IFERROR(VLOOKUP(F65,Action_Templates!$A:$Q,15,FALSE),""))</f>
        <v/>
      </c>
      <c r="AE65">
        <f>IF(O65="","",IF(OR(O65&lt;&gt;"Closed",AND(P65="YES",T65="Accepted")),"OK","BLOCKED"))</f>
        <v/>
      </c>
      <c r="AF65">
        <f>IF(OR(AC65="",R65=""),"",IF(ISNUMBER(SEARCH(AC65,R65)),"OK","CHECK"))</f>
        <v/>
      </c>
    </row>
    <row r="66">
      <c r="A66" t="inlineStr">
        <is>
          <t>ACT-00065</t>
        </is>
      </c>
      <c r="B66">
        <f>'Company_Profile'!B5</f>
        <v/>
      </c>
      <c r="C66">
        <f>'Company_Profile'!B2</f>
        <v/>
      </c>
      <c r="W66">
        <f>IF(AND(O66="Closed",AE66="OK"),TODAY(),"")</f>
        <v/>
      </c>
      <c r="AB66">
        <f>IF(F66="","",IFERROR(VLOOKUP(F66,Action_Templates!$A:$Q,13,FALSE),""))</f>
        <v/>
      </c>
      <c r="AC66">
        <f>IF(F66="","",IFERROR(VLOOKUP(F66,Action_Templates!$A:$Q,14,FALSE),""))</f>
        <v/>
      </c>
      <c r="AD66">
        <f>IF(F66="","",IFERROR(VLOOKUP(F66,Action_Templates!$A:$Q,15,FALSE),""))</f>
        <v/>
      </c>
      <c r="AE66">
        <f>IF(O66="","",IF(OR(O66&lt;&gt;"Closed",AND(P66="YES",T66="Accepted")),"OK","BLOCKED"))</f>
        <v/>
      </c>
      <c r="AF66">
        <f>IF(OR(AC66="",R66=""),"",IF(ISNUMBER(SEARCH(AC66,R66)),"OK","CHECK"))</f>
        <v/>
      </c>
    </row>
    <row r="67">
      <c r="A67" t="inlineStr">
        <is>
          <t>ACT-00066</t>
        </is>
      </c>
      <c r="B67">
        <f>'Company_Profile'!B5</f>
        <v/>
      </c>
      <c r="C67">
        <f>'Company_Profile'!B2</f>
        <v/>
      </c>
      <c r="W67">
        <f>IF(AND(O67="Closed",AE67="OK"),TODAY(),"")</f>
        <v/>
      </c>
      <c r="AB67">
        <f>IF(F67="","",IFERROR(VLOOKUP(F67,Action_Templates!$A:$Q,13,FALSE),""))</f>
        <v/>
      </c>
      <c r="AC67">
        <f>IF(F67="","",IFERROR(VLOOKUP(F67,Action_Templates!$A:$Q,14,FALSE),""))</f>
        <v/>
      </c>
      <c r="AD67">
        <f>IF(F67="","",IFERROR(VLOOKUP(F67,Action_Templates!$A:$Q,15,FALSE),""))</f>
        <v/>
      </c>
      <c r="AE67">
        <f>IF(O67="","",IF(OR(O67&lt;&gt;"Closed",AND(P67="YES",T67="Accepted")),"OK","BLOCKED"))</f>
        <v/>
      </c>
      <c r="AF67">
        <f>IF(OR(AC67="",R67=""),"",IF(ISNUMBER(SEARCH(AC67,R67)),"OK","CHECK"))</f>
        <v/>
      </c>
    </row>
    <row r="68">
      <c r="A68" t="inlineStr">
        <is>
          <t>ACT-00067</t>
        </is>
      </c>
      <c r="B68">
        <f>'Company_Profile'!B5</f>
        <v/>
      </c>
      <c r="C68">
        <f>'Company_Profile'!B2</f>
        <v/>
      </c>
      <c r="W68">
        <f>IF(AND(O68="Closed",AE68="OK"),TODAY(),"")</f>
        <v/>
      </c>
      <c r="AB68">
        <f>IF(F68="","",IFERROR(VLOOKUP(F68,Action_Templates!$A:$Q,13,FALSE),""))</f>
        <v/>
      </c>
      <c r="AC68">
        <f>IF(F68="","",IFERROR(VLOOKUP(F68,Action_Templates!$A:$Q,14,FALSE),""))</f>
        <v/>
      </c>
      <c r="AD68">
        <f>IF(F68="","",IFERROR(VLOOKUP(F68,Action_Templates!$A:$Q,15,FALSE),""))</f>
        <v/>
      </c>
      <c r="AE68">
        <f>IF(O68="","",IF(OR(O68&lt;&gt;"Closed",AND(P68="YES",T68="Accepted")),"OK","BLOCKED"))</f>
        <v/>
      </c>
      <c r="AF68">
        <f>IF(OR(AC68="",R68=""),"",IF(ISNUMBER(SEARCH(AC68,R68)),"OK","CHECK"))</f>
        <v/>
      </c>
    </row>
    <row r="69">
      <c r="A69" t="inlineStr">
        <is>
          <t>ACT-00068</t>
        </is>
      </c>
      <c r="B69">
        <f>'Company_Profile'!B5</f>
        <v/>
      </c>
      <c r="C69">
        <f>'Company_Profile'!B2</f>
        <v/>
      </c>
      <c r="W69">
        <f>IF(AND(O69="Closed",AE69="OK"),TODAY(),"")</f>
        <v/>
      </c>
      <c r="AB69">
        <f>IF(F69="","",IFERROR(VLOOKUP(F69,Action_Templates!$A:$Q,13,FALSE),""))</f>
        <v/>
      </c>
      <c r="AC69">
        <f>IF(F69="","",IFERROR(VLOOKUP(F69,Action_Templates!$A:$Q,14,FALSE),""))</f>
        <v/>
      </c>
      <c r="AD69">
        <f>IF(F69="","",IFERROR(VLOOKUP(F69,Action_Templates!$A:$Q,15,FALSE),""))</f>
        <v/>
      </c>
      <c r="AE69">
        <f>IF(O69="","",IF(OR(O69&lt;&gt;"Closed",AND(P69="YES",T69="Accepted")),"OK","BLOCKED"))</f>
        <v/>
      </c>
      <c r="AF69">
        <f>IF(OR(AC69="",R69=""),"",IF(ISNUMBER(SEARCH(AC69,R69)),"OK","CHECK"))</f>
        <v/>
      </c>
    </row>
    <row r="70">
      <c r="A70" t="inlineStr">
        <is>
          <t>ACT-00069</t>
        </is>
      </c>
      <c r="B70">
        <f>'Company_Profile'!B5</f>
        <v/>
      </c>
      <c r="C70">
        <f>'Company_Profile'!B2</f>
        <v/>
      </c>
      <c r="W70">
        <f>IF(AND(O70="Closed",AE70="OK"),TODAY(),"")</f>
        <v/>
      </c>
      <c r="AB70">
        <f>IF(F70="","",IFERROR(VLOOKUP(F70,Action_Templates!$A:$Q,13,FALSE),""))</f>
        <v/>
      </c>
      <c r="AC70">
        <f>IF(F70="","",IFERROR(VLOOKUP(F70,Action_Templates!$A:$Q,14,FALSE),""))</f>
        <v/>
      </c>
      <c r="AD70">
        <f>IF(F70="","",IFERROR(VLOOKUP(F70,Action_Templates!$A:$Q,15,FALSE),""))</f>
        <v/>
      </c>
      <c r="AE70">
        <f>IF(O70="","",IF(OR(O70&lt;&gt;"Closed",AND(P70="YES",T70="Accepted")),"OK","BLOCKED"))</f>
        <v/>
      </c>
      <c r="AF70">
        <f>IF(OR(AC70="",R70=""),"",IF(ISNUMBER(SEARCH(AC70,R70)),"OK","CHECK"))</f>
        <v/>
      </c>
    </row>
    <row r="71">
      <c r="A71" t="inlineStr">
        <is>
          <t>ACT-00070</t>
        </is>
      </c>
      <c r="B71">
        <f>'Company_Profile'!B5</f>
        <v/>
      </c>
      <c r="C71">
        <f>'Company_Profile'!B2</f>
        <v/>
      </c>
      <c r="W71">
        <f>IF(AND(O71="Closed",AE71="OK"),TODAY(),"")</f>
        <v/>
      </c>
      <c r="AB71">
        <f>IF(F71="","",IFERROR(VLOOKUP(F71,Action_Templates!$A:$Q,13,FALSE),""))</f>
        <v/>
      </c>
      <c r="AC71">
        <f>IF(F71="","",IFERROR(VLOOKUP(F71,Action_Templates!$A:$Q,14,FALSE),""))</f>
        <v/>
      </c>
      <c r="AD71">
        <f>IF(F71="","",IFERROR(VLOOKUP(F71,Action_Templates!$A:$Q,15,FALSE),""))</f>
        <v/>
      </c>
      <c r="AE71">
        <f>IF(O71="","",IF(OR(O71&lt;&gt;"Closed",AND(P71="YES",T71="Accepted")),"OK","BLOCKED"))</f>
        <v/>
      </c>
      <c r="AF71">
        <f>IF(OR(AC71="",R71=""),"",IF(ISNUMBER(SEARCH(AC71,R71)),"OK","CHECK"))</f>
        <v/>
      </c>
    </row>
    <row r="72">
      <c r="A72" t="inlineStr">
        <is>
          <t>ACT-00071</t>
        </is>
      </c>
      <c r="B72">
        <f>'Company_Profile'!B5</f>
        <v/>
      </c>
      <c r="C72">
        <f>'Company_Profile'!B2</f>
        <v/>
      </c>
      <c r="W72">
        <f>IF(AND(O72="Closed",AE72="OK"),TODAY(),"")</f>
        <v/>
      </c>
      <c r="AB72">
        <f>IF(F72="","",IFERROR(VLOOKUP(F72,Action_Templates!$A:$Q,13,FALSE),""))</f>
        <v/>
      </c>
      <c r="AC72">
        <f>IF(F72="","",IFERROR(VLOOKUP(F72,Action_Templates!$A:$Q,14,FALSE),""))</f>
        <v/>
      </c>
      <c r="AD72">
        <f>IF(F72="","",IFERROR(VLOOKUP(F72,Action_Templates!$A:$Q,15,FALSE),""))</f>
        <v/>
      </c>
      <c r="AE72">
        <f>IF(O72="","",IF(OR(O72&lt;&gt;"Closed",AND(P72="YES",T72="Accepted")),"OK","BLOCKED"))</f>
        <v/>
      </c>
      <c r="AF72">
        <f>IF(OR(AC72="",R72=""),"",IF(ISNUMBER(SEARCH(AC72,R72)),"OK","CHECK"))</f>
        <v/>
      </c>
    </row>
    <row r="73">
      <c r="A73" t="inlineStr">
        <is>
          <t>ACT-00072</t>
        </is>
      </c>
      <c r="B73">
        <f>'Company_Profile'!B5</f>
        <v/>
      </c>
      <c r="C73">
        <f>'Company_Profile'!B2</f>
        <v/>
      </c>
      <c r="W73">
        <f>IF(AND(O73="Closed",AE73="OK"),TODAY(),"")</f>
        <v/>
      </c>
      <c r="AB73">
        <f>IF(F73="","",IFERROR(VLOOKUP(F73,Action_Templates!$A:$Q,13,FALSE),""))</f>
        <v/>
      </c>
      <c r="AC73">
        <f>IF(F73="","",IFERROR(VLOOKUP(F73,Action_Templates!$A:$Q,14,FALSE),""))</f>
        <v/>
      </c>
      <c r="AD73">
        <f>IF(F73="","",IFERROR(VLOOKUP(F73,Action_Templates!$A:$Q,15,FALSE),""))</f>
        <v/>
      </c>
      <c r="AE73">
        <f>IF(O73="","",IF(OR(O73&lt;&gt;"Closed",AND(P73="YES",T73="Accepted")),"OK","BLOCKED"))</f>
        <v/>
      </c>
      <c r="AF73">
        <f>IF(OR(AC73="",R73=""),"",IF(ISNUMBER(SEARCH(AC73,R73)),"OK","CHECK"))</f>
        <v/>
      </c>
    </row>
    <row r="74">
      <c r="A74" t="inlineStr">
        <is>
          <t>ACT-00073</t>
        </is>
      </c>
      <c r="B74">
        <f>'Company_Profile'!B5</f>
        <v/>
      </c>
      <c r="C74">
        <f>'Company_Profile'!B2</f>
        <v/>
      </c>
      <c r="W74">
        <f>IF(AND(O74="Closed",AE74="OK"),TODAY(),"")</f>
        <v/>
      </c>
      <c r="AB74">
        <f>IF(F74="","",IFERROR(VLOOKUP(F74,Action_Templates!$A:$Q,13,FALSE),""))</f>
        <v/>
      </c>
      <c r="AC74">
        <f>IF(F74="","",IFERROR(VLOOKUP(F74,Action_Templates!$A:$Q,14,FALSE),""))</f>
        <v/>
      </c>
      <c r="AD74">
        <f>IF(F74="","",IFERROR(VLOOKUP(F74,Action_Templates!$A:$Q,15,FALSE),""))</f>
        <v/>
      </c>
      <c r="AE74">
        <f>IF(O74="","",IF(OR(O74&lt;&gt;"Closed",AND(P74="YES",T74="Accepted")),"OK","BLOCKED"))</f>
        <v/>
      </c>
      <c r="AF74">
        <f>IF(OR(AC74="",R74=""),"",IF(ISNUMBER(SEARCH(AC74,R74)),"OK","CHECK"))</f>
        <v/>
      </c>
    </row>
    <row r="75">
      <c r="A75" t="inlineStr">
        <is>
          <t>ACT-00074</t>
        </is>
      </c>
      <c r="B75">
        <f>'Company_Profile'!B5</f>
        <v/>
      </c>
      <c r="C75">
        <f>'Company_Profile'!B2</f>
        <v/>
      </c>
      <c r="W75">
        <f>IF(AND(O75="Closed",AE75="OK"),TODAY(),"")</f>
        <v/>
      </c>
      <c r="AB75">
        <f>IF(F75="","",IFERROR(VLOOKUP(F75,Action_Templates!$A:$Q,13,FALSE),""))</f>
        <v/>
      </c>
      <c r="AC75">
        <f>IF(F75="","",IFERROR(VLOOKUP(F75,Action_Templates!$A:$Q,14,FALSE),""))</f>
        <v/>
      </c>
      <c r="AD75">
        <f>IF(F75="","",IFERROR(VLOOKUP(F75,Action_Templates!$A:$Q,15,FALSE),""))</f>
        <v/>
      </c>
      <c r="AE75">
        <f>IF(O75="","",IF(OR(O75&lt;&gt;"Closed",AND(P75="YES",T75="Accepted")),"OK","BLOCKED"))</f>
        <v/>
      </c>
      <c r="AF75">
        <f>IF(OR(AC75="",R75=""),"",IF(ISNUMBER(SEARCH(AC75,R75)),"OK","CHECK"))</f>
        <v/>
      </c>
    </row>
    <row r="76">
      <c r="A76" t="inlineStr">
        <is>
          <t>ACT-00075</t>
        </is>
      </c>
      <c r="B76">
        <f>'Company_Profile'!B5</f>
        <v/>
      </c>
      <c r="C76">
        <f>'Company_Profile'!B2</f>
        <v/>
      </c>
      <c r="W76">
        <f>IF(AND(O76="Closed",AE76="OK"),TODAY(),"")</f>
        <v/>
      </c>
      <c r="AB76">
        <f>IF(F76="","",IFERROR(VLOOKUP(F76,Action_Templates!$A:$Q,13,FALSE),""))</f>
        <v/>
      </c>
      <c r="AC76">
        <f>IF(F76="","",IFERROR(VLOOKUP(F76,Action_Templates!$A:$Q,14,FALSE),""))</f>
        <v/>
      </c>
      <c r="AD76">
        <f>IF(F76="","",IFERROR(VLOOKUP(F76,Action_Templates!$A:$Q,15,FALSE),""))</f>
        <v/>
      </c>
      <c r="AE76">
        <f>IF(O76="","",IF(OR(O76&lt;&gt;"Closed",AND(P76="YES",T76="Accepted")),"OK","BLOCKED"))</f>
        <v/>
      </c>
      <c r="AF76">
        <f>IF(OR(AC76="",R76=""),"",IF(ISNUMBER(SEARCH(AC76,R76)),"OK","CHECK"))</f>
        <v/>
      </c>
    </row>
    <row r="77">
      <c r="A77" t="inlineStr">
        <is>
          <t>ACT-00076</t>
        </is>
      </c>
      <c r="B77">
        <f>'Company_Profile'!B5</f>
        <v/>
      </c>
      <c r="C77">
        <f>'Company_Profile'!B2</f>
        <v/>
      </c>
      <c r="W77">
        <f>IF(AND(O77="Closed",AE77="OK"),TODAY(),"")</f>
        <v/>
      </c>
      <c r="AB77">
        <f>IF(F77="","",IFERROR(VLOOKUP(F77,Action_Templates!$A:$Q,13,FALSE),""))</f>
        <v/>
      </c>
      <c r="AC77">
        <f>IF(F77="","",IFERROR(VLOOKUP(F77,Action_Templates!$A:$Q,14,FALSE),""))</f>
        <v/>
      </c>
      <c r="AD77">
        <f>IF(F77="","",IFERROR(VLOOKUP(F77,Action_Templates!$A:$Q,15,FALSE),""))</f>
        <v/>
      </c>
      <c r="AE77">
        <f>IF(O77="","",IF(OR(O77&lt;&gt;"Closed",AND(P77="YES",T77="Accepted")),"OK","BLOCKED"))</f>
        <v/>
      </c>
      <c r="AF77">
        <f>IF(OR(AC77="",R77=""),"",IF(ISNUMBER(SEARCH(AC77,R77)),"OK","CHECK"))</f>
        <v/>
      </c>
    </row>
    <row r="78">
      <c r="A78" t="inlineStr">
        <is>
          <t>ACT-00077</t>
        </is>
      </c>
      <c r="B78">
        <f>'Company_Profile'!B5</f>
        <v/>
      </c>
      <c r="C78">
        <f>'Company_Profile'!B2</f>
        <v/>
      </c>
      <c r="W78">
        <f>IF(AND(O78="Closed",AE78="OK"),TODAY(),"")</f>
        <v/>
      </c>
      <c r="AB78">
        <f>IF(F78="","",IFERROR(VLOOKUP(F78,Action_Templates!$A:$Q,13,FALSE),""))</f>
        <v/>
      </c>
      <c r="AC78">
        <f>IF(F78="","",IFERROR(VLOOKUP(F78,Action_Templates!$A:$Q,14,FALSE),""))</f>
        <v/>
      </c>
      <c r="AD78">
        <f>IF(F78="","",IFERROR(VLOOKUP(F78,Action_Templates!$A:$Q,15,FALSE),""))</f>
        <v/>
      </c>
      <c r="AE78">
        <f>IF(O78="","",IF(OR(O78&lt;&gt;"Closed",AND(P78="YES",T78="Accepted")),"OK","BLOCKED"))</f>
        <v/>
      </c>
      <c r="AF78">
        <f>IF(OR(AC78="",R78=""),"",IF(ISNUMBER(SEARCH(AC78,R78)),"OK","CHECK"))</f>
        <v/>
      </c>
    </row>
    <row r="79">
      <c r="A79" t="inlineStr">
        <is>
          <t>ACT-00078</t>
        </is>
      </c>
      <c r="B79">
        <f>'Company_Profile'!B5</f>
        <v/>
      </c>
      <c r="C79">
        <f>'Company_Profile'!B2</f>
        <v/>
      </c>
      <c r="W79">
        <f>IF(AND(O79="Closed",AE79="OK"),TODAY(),"")</f>
        <v/>
      </c>
      <c r="AB79">
        <f>IF(F79="","",IFERROR(VLOOKUP(F79,Action_Templates!$A:$Q,13,FALSE),""))</f>
        <v/>
      </c>
      <c r="AC79">
        <f>IF(F79="","",IFERROR(VLOOKUP(F79,Action_Templates!$A:$Q,14,FALSE),""))</f>
        <v/>
      </c>
      <c r="AD79">
        <f>IF(F79="","",IFERROR(VLOOKUP(F79,Action_Templates!$A:$Q,15,FALSE),""))</f>
        <v/>
      </c>
      <c r="AE79">
        <f>IF(O79="","",IF(OR(O79&lt;&gt;"Closed",AND(P79="YES",T79="Accepted")),"OK","BLOCKED"))</f>
        <v/>
      </c>
      <c r="AF79">
        <f>IF(OR(AC79="",R79=""),"",IF(ISNUMBER(SEARCH(AC79,R79)),"OK","CHECK"))</f>
        <v/>
      </c>
    </row>
    <row r="80">
      <c r="A80" t="inlineStr">
        <is>
          <t>ACT-00079</t>
        </is>
      </c>
      <c r="B80">
        <f>'Company_Profile'!B5</f>
        <v/>
      </c>
      <c r="C80">
        <f>'Company_Profile'!B2</f>
        <v/>
      </c>
      <c r="W80">
        <f>IF(AND(O80="Closed",AE80="OK"),TODAY(),"")</f>
        <v/>
      </c>
      <c r="AB80">
        <f>IF(F80="","",IFERROR(VLOOKUP(F80,Action_Templates!$A:$Q,13,FALSE),""))</f>
        <v/>
      </c>
      <c r="AC80">
        <f>IF(F80="","",IFERROR(VLOOKUP(F80,Action_Templates!$A:$Q,14,FALSE),""))</f>
        <v/>
      </c>
      <c r="AD80">
        <f>IF(F80="","",IFERROR(VLOOKUP(F80,Action_Templates!$A:$Q,15,FALSE),""))</f>
        <v/>
      </c>
      <c r="AE80">
        <f>IF(O80="","",IF(OR(O80&lt;&gt;"Closed",AND(P80="YES",T80="Accepted")),"OK","BLOCKED"))</f>
        <v/>
      </c>
      <c r="AF80">
        <f>IF(OR(AC80="",R80=""),"",IF(ISNUMBER(SEARCH(AC80,R80)),"OK","CHECK"))</f>
        <v/>
      </c>
    </row>
    <row r="81">
      <c r="A81" t="inlineStr">
        <is>
          <t>ACT-00080</t>
        </is>
      </c>
      <c r="B81">
        <f>'Company_Profile'!B5</f>
        <v/>
      </c>
      <c r="C81">
        <f>'Company_Profile'!B2</f>
        <v/>
      </c>
      <c r="W81">
        <f>IF(AND(O81="Closed",AE81="OK"),TODAY(),"")</f>
        <v/>
      </c>
      <c r="AB81">
        <f>IF(F81="","",IFERROR(VLOOKUP(F81,Action_Templates!$A:$Q,13,FALSE),""))</f>
        <v/>
      </c>
      <c r="AC81">
        <f>IF(F81="","",IFERROR(VLOOKUP(F81,Action_Templates!$A:$Q,14,FALSE),""))</f>
        <v/>
      </c>
      <c r="AD81">
        <f>IF(F81="","",IFERROR(VLOOKUP(F81,Action_Templates!$A:$Q,15,FALSE),""))</f>
        <v/>
      </c>
      <c r="AE81">
        <f>IF(O81="","",IF(OR(O81&lt;&gt;"Closed",AND(P81="YES",T81="Accepted")),"OK","BLOCKED"))</f>
        <v/>
      </c>
      <c r="AF81">
        <f>IF(OR(AC81="",R81=""),"",IF(ISNUMBER(SEARCH(AC81,R81)),"OK","CHECK"))</f>
        <v/>
      </c>
    </row>
    <row r="82">
      <c r="A82" t="inlineStr">
        <is>
          <t>ACT-00081</t>
        </is>
      </c>
      <c r="B82">
        <f>'Company_Profile'!B5</f>
        <v/>
      </c>
      <c r="C82">
        <f>'Company_Profile'!B2</f>
        <v/>
      </c>
      <c r="W82">
        <f>IF(AND(O82="Closed",AE82="OK"),TODAY(),"")</f>
        <v/>
      </c>
      <c r="AB82">
        <f>IF(F82="","",IFERROR(VLOOKUP(F82,Action_Templates!$A:$Q,13,FALSE),""))</f>
        <v/>
      </c>
      <c r="AC82">
        <f>IF(F82="","",IFERROR(VLOOKUP(F82,Action_Templates!$A:$Q,14,FALSE),""))</f>
        <v/>
      </c>
      <c r="AD82">
        <f>IF(F82="","",IFERROR(VLOOKUP(F82,Action_Templates!$A:$Q,15,FALSE),""))</f>
        <v/>
      </c>
      <c r="AE82">
        <f>IF(O82="","",IF(OR(O82&lt;&gt;"Closed",AND(P82="YES",T82="Accepted")),"OK","BLOCKED"))</f>
        <v/>
      </c>
      <c r="AF82">
        <f>IF(OR(AC82="",R82=""),"",IF(ISNUMBER(SEARCH(AC82,R82)),"OK","CHECK"))</f>
        <v/>
      </c>
    </row>
    <row r="83">
      <c r="A83" t="inlineStr">
        <is>
          <t>ACT-00082</t>
        </is>
      </c>
      <c r="B83">
        <f>'Company_Profile'!B5</f>
        <v/>
      </c>
      <c r="C83">
        <f>'Company_Profile'!B2</f>
        <v/>
      </c>
      <c r="W83">
        <f>IF(AND(O83="Closed",AE83="OK"),TODAY(),"")</f>
        <v/>
      </c>
      <c r="AB83">
        <f>IF(F83="","",IFERROR(VLOOKUP(F83,Action_Templates!$A:$Q,13,FALSE),""))</f>
        <v/>
      </c>
      <c r="AC83">
        <f>IF(F83="","",IFERROR(VLOOKUP(F83,Action_Templates!$A:$Q,14,FALSE),""))</f>
        <v/>
      </c>
      <c r="AD83">
        <f>IF(F83="","",IFERROR(VLOOKUP(F83,Action_Templates!$A:$Q,15,FALSE),""))</f>
        <v/>
      </c>
      <c r="AE83">
        <f>IF(O83="","",IF(OR(O83&lt;&gt;"Closed",AND(P83="YES",T83="Accepted")),"OK","BLOCKED"))</f>
        <v/>
      </c>
      <c r="AF83">
        <f>IF(OR(AC83="",R83=""),"",IF(ISNUMBER(SEARCH(AC83,R83)),"OK","CHECK"))</f>
        <v/>
      </c>
    </row>
    <row r="84">
      <c r="A84" t="inlineStr">
        <is>
          <t>ACT-00083</t>
        </is>
      </c>
      <c r="B84">
        <f>'Company_Profile'!B5</f>
        <v/>
      </c>
      <c r="C84">
        <f>'Company_Profile'!B2</f>
        <v/>
      </c>
      <c r="W84">
        <f>IF(AND(O84="Closed",AE84="OK"),TODAY(),"")</f>
        <v/>
      </c>
      <c r="AB84">
        <f>IF(F84="","",IFERROR(VLOOKUP(F84,Action_Templates!$A:$Q,13,FALSE),""))</f>
        <v/>
      </c>
      <c r="AC84">
        <f>IF(F84="","",IFERROR(VLOOKUP(F84,Action_Templates!$A:$Q,14,FALSE),""))</f>
        <v/>
      </c>
      <c r="AD84">
        <f>IF(F84="","",IFERROR(VLOOKUP(F84,Action_Templates!$A:$Q,15,FALSE),""))</f>
        <v/>
      </c>
      <c r="AE84">
        <f>IF(O84="","",IF(OR(O84&lt;&gt;"Closed",AND(P84="YES",T84="Accepted")),"OK","BLOCKED"))</f>
        <v/>
      </c>
      <c r="AF84">
        <f>IF(OR(AC84="",R84=""),"",IF(ISNUMBER(SEARCH(AC84,R84)),"OK","CHECK"))</f>
        <v/>
      </c>
    </row>
    <row r="85">
      <c r="A85" t="inlineStr">
        <is>
          <t>ACT-00084</t>
        </is>
      </c>
      <c r="B85">
        <f>'Company_Profile'!B5</f>
        <v/>
      </c>
      <c r="C85">
        <f>'Company_Profile'!B2</f>
        <v/>
      </c>
      <c r="W85">
        <f>IF(AND(O85="Closed",AE85="OK"),TODAY(),"")</f>
        <v/>
      </c>
      <c r="AB85">
        <f>IF(F85="","",IFERROR(VLOOKUP(F85,Action_Templates!$A:$Q,13,FALSE),""))</f>
        <v/>
      </c>
      <c r="AC85">
        <f>IF(F85="","",IFERROR(VLOOKUP(F85,Action_Templates!$A:$Q,14,FALSE),""))</f>
        <v/>
      </c>
      <c r="AD85">
        <f>IF(F85="","",IFERROR(VLOOKUP(F85,Action_Templates!$A:$Q,15,FALSE),""))</f>
        <v/>
      </c>
      <c r="AE85">
        <f>IF(O85="","",IF(OR(O85&lt;&gt;"Closed",AND(P85="YES",T85="Accepted")),"OK","BLOCKED"))</f>
        <v/>
      </c>
      <c r="AF85">
        <f>IF(OR(AC85="",R85=""),"",IF(ISNUMBER(SEARCH(AC85,R85)),"OK","CHECK"))</f>
        <v/>
      </c>
    </row>
    <row r="86">
      <c r="A86" t="inlineStr">
        <is>
          <t>ACT-00085</t>
        </is>
      </c>
      <c r="B86">
        <f>'Company_Profile'!B5</f>
        <v/>
      </c>
      <c r="C86">
        <f>'Company_Profile'!B2</f>
        <v/>
      </c>
      <c r="W86">
        <f>IF(AND(O86="Closed",AE86="OK"),TODAY(),"")</f>
        <v/>
      </c>
      <c r="AB86">
        <f>IF(F86="","",IFERROR(VLOOKUP(F86,Action_Templates!$A:$Q,13,FALSE),""))</f>
        <v/>
      </c>
      <c r="AC86">
        <f>IF(F86="","",IFERROR(VLOOKUP(F86,Action_Templates!$A:$Q,14,FALSE),""))</f>
        <v/>
      </c>
      <c r="AD86">
        <f>IF(F86="","",IFERROR(VLOOKUP(F86,Action_Templates!$A:$Q,15,FALSE),""))</f>
        <v/>
      </c>
      <c r="AE86">
        <f>IF(O86="","",IF(OR(O86&lt;&gt;"Closed",AND(P86="YES",T86="Accepted")),"OK","BLOCKED"))</f>
        <v/>
      </c>
      <c r="AF86">
        <f>IF(OR(AC86="",R86=""),"",IF(ISNUMBER(SEARCH(AC86,R86)),"OK","CHECK"))</f>
        <v/>
      </c>
    </row>
    <row r="87">
      <c r="A87" t="inlineStr">
        <is>
          <t>ACT-00086</t>
        </is>
      </c>
      <c r="B87">
        <f>'Company_Profile'!B5</f>
        <v/>
      </c>
      <c r="C87">
        <f>'Company_Profile'!B2</f>
        <v/>
      </c>
      <c r="W87">
        <f>IF(AND(O87="Closed",AE87="OK"),TODAY(),"")</f>
        <v/>
      </c>
      <c r="AB87">
        <f>IF(F87="","",IFERROR(VLOOKUP(F87,Action_Templates!$A:$Q,13,FALSE),""))</f>
        <v/>
      </c>
      <c r="AC87">
        <f>IF(F87="","",IFERROR(VLOOKUP(F87,Action_Templates!$A:$Q,14,FALSE),""))</f>
        <v/>
      </c>
      <c r="AD87">
        <f>IF(F87="","",IFERROR(VLOOKUP(F87,Action_Templates!$A:$Q,15,FALSE),""))</f>
        <v/>
      </c>
      <c r="AE87">
        <f>IF(O87="","",IF(OR(O87&lt;&gt;"Closed",AND(P87="YES",T87="Accepted")),"OK","BLOCKED"))</f>
        <v/>
      </c>
      <c r="AF87">
        <f>IF(OR(AC87="",R87=""),"",IF(ISNUMBER(SEARCH(AC87,R87)),"OK","CHECK"))</f>
        <v/>
      </c>
    </row>
    <row r="88">
      <c r="A88" t="inlineStr">
        <is>
          <t>ACT-00087</t>
        </is>
      </c>
      <c r="B88">
        <f>'Company_Profile'!B5</f>
        <v/>
      </c>
      <c r="C88">
        <f>'Company_Profile'!B2</f>
        <v/>
      </c>
      <c r="W88">
        <f>IF(AND(O88="Closed",AE88="OK"),TODAY(),"")</f>
        <v/>
      </c>
      <c r="AB88">
        <f>IF(F88="","",IFERROR(VLOOKUP(F88,Action_Templates!$A:$Q,13,FALSE),""))</f>
        <v/>
      </c>
      <c r="AC88">
        <f>IF(F88="","",IFERROR(VLOOKUP(F88,Action_Templates!$A:$Q,14,FALSE),""))</f>
        <v/>
      </c>
      <c r="AD88">
        <f>IF(F88="","",IFERROR(VLOOKUP(F88,Action_Templates!$A:$Q,15,FALSE),""))</f>
        <v/>
      </c>
      <c r="AE88">
        <f>IF(O88="","",IF(OR(O88&lt;&gt;"Closed",AND(P88="YES",T88="Accepted")),"OK","BLOCKED"))</f>
        <v/>
      </c>
      <c r="AF88">
        <f>IF(OR(AC88="",R88=""),"",IF(ISNUMBER(SEARCH(AC88,R88)),"OK","CHECK"))</f>
        <v/>
      </c>
    </row>
    <row r="89">
      <c r="A89" t="inlineStr">
        <is>
          <t>ACT-00088</t>
        </is>
      </c>
      <c r="B89">
        <f>'Company_Profile'!B5</f>
        <v/>
      </c>
      <c r="C89">
        <f>'Company_Profile'!B2</f>
        <v/>
      </c>
      <c r="W89">
        <f>IF(AND(O89="Closed",AE89="OK"),TODAY(),"")</f>
        <v/>
      </c>
      <c r="AB89">
        <f>IF(F89="","",IFERROR(VLOOKUP(F89,Action_Templates!$A:$Q,13,FALSE),""))</f>
        <v/>
      </c>
      <c r="AC89">
        <f>IF(F89="","",IFERROR(VLOOKUP(F89,Action_Templates!$A:$Q,14,FALSE),""))</f>
        <v/>
      </c>
      <c r="AD89">
        <f>IF(F89="","",IFERROR(VLOOKUP(F89,Action_Templates!$A:$Q,15,FALSE),""))</f>
        <v/>
      </c>
      <c r="AE89">
        <f>IF(O89="","",IF(OR(O89&lt;&gt;"Closed",AND(P89="YES",T89="Accepted")),"OK","BLOCKED"))</f>
        <v/>
      </c>
      <c r="AF89">
        <f>IF(OR(AC89="",R89=""),"",IF(ISNUMBER(SEARCH(AC89,R89)),"OK","CHECK"))</f>
        <v/>
      </c>
    </row>
    <row r="90">
      <c r="A90" t="inlineStr">
        <is>
          <t>ACT-00089</t>
        </is>
      </c>
      <c r="B90">
        <f>'Company_Profile'!B5</f>
        <v/>
      </c>
      <c r="C90">
        <f>'Company_Profile'!B2</f>
        <v/>
      </c>
      <c r="W90">
        <f>IF(AND(O90="Closed",AE90="OK"),TODAY(),"")</f>
        <v/>
      </c>
      <c r="AB90">
        <f>IF(F90="","",IFERROR(VLOOKUP(F90,Action_Templates!$A:$Q,13,FALSE),""))</f>
        <v/>
      </c>
      <c r="AC90">
        <f>IF(F90="","",IFERROR(VLOOKUP(F90,Action_Templates!$A:$Q,14,FALSE),""))</f>
        <v/>
      </c>
      <c r="AD90">
        <f>IF(F90="","",IFERROR(VLOOKUP(F90,Action_Templates!$A:$Q,15,FALSE),""))</f>
        <v/>
      </c>
      <c r="AE90">
        <f>IF(O90="","",IF(OR(O90&lt;&gt;"Closed",AND(P90="YES",T90="Accepted")),"OK","BLOCKED"))</f>
        <v/>
      </c>
      <c r="AF90">
        <f>IF(OR(AC90="",R90=""),"",IF(ISNUMBER(SEARCH(AC90,R90)),"OK","CHECK"))</f>
        <v/>
      </c>
    </row>
    <row r="91">
      <c r="A91" t="inlineStr">
        <is>
          <t>ACT-00090</t>
        </is>
      </c>
      <c r="B91">
        <f>'Company_Profile'!B5</f>
        <v/>
      </c>
      <c r="C91">
        <f>'Company_Profile'!B2</f>
        <v/>
      </c>
      <c r="W91">
        <f>IF(AND(O91="Closed",AE91="OK"),TODAY(),"")</f>
        <v/>
      </c>
      <c r="AB91">
        <f>IF(F91="","",IFERROR(VLOOKUP(F91,Action_Templates!$A:$Q,13,FALSE),""))</f>
        <v/>
      </c>
      <c r="AC91">
        <f>IF(F91="","",IFERROR(VLOOKUP(F91,Action_Templates!$A:$Q,14,FALSE),""))</f>
        <v/>
      </c>
      <c r="AD91">
        <f>IF(F91="","",IFERROR(VLOOKUP(F91,Action_Templates!$A:$Q,15,FALSE),""))</f>
        <v/>
      </c>
      <c r="AE91">
        <f>IF(O91="","",IF(OR(O91&lt;&gt;"Closed",AND(P91="YES",T91="Accepted")),"OK","BLOCKED"))</f>
        <v/>
      </c>
      <c r="AF91">
        <f>IF(OR(AC91="",R91=""),"",IF(ISNUMBER(SEARCH(AC91,R91)),"OK","CHECK"))</f>
        <v/>
      </c>
    </row>
    <row r="92">
      <c r="A92" t="inlineStr">
        <is>
          <t>ACT-00091</t>
        </is>
      </c>
      <c r="B92">
        <f>'Company_Profile'!B5</f>
        <v/>
      </c>
      <c r="C92">
        <f>'Company_Profile'!B2</f>
        <v/>
      </c>
      <c r="W92">
        <f>IF(AND(O92="Closed",AE92="OK"),TODAY(),"")</f>
        <v/>
      </c>
      <c r="AB92">
        <f>IF(F92="","",IFERROR(VLOOKUP(F92,Action_Templates!$A:$Q,13,FALSE),""))</f>
        <v/>
      </c>
      <c r="AC92">
        <f>IF(F92="","",IFERROR(VLOOKUP(F92,Action_Templates!$A:$Q,14,FALSE),""))</f>
        <v/>
      </c>
      <c r="AD92">
        <f>IF(F92="","",IFERROR(VLOOKUP(F92,Action_Templates!$A:$Q,15,FALSE),""))</f>
        <v/>
      </c>
      <c r="AE92">
        <f>IF(O92="","",IF(OR(O92&lt;&gt;"Closed",AND(P92="YES",T92="Accepted")),"OK","BLOCKED"))</f>
        <v/>
      </c>
      <c r="AF92">
        <f>IF(OR(AC92="",R92=""),"",IF(ISNUMBER(SEARCH(AC92,R92)),"OK","CHECK"))</f>
        <v/>
      </c>
    </row>
    <row r="93">
      <c r="A93" t="inlineStr">
        <is>
          <t>ACT-00092</t>
        </is>
      </c>
      <c r="B93">
        <f>'Company_Profile'!B5</f>
        <v/>
      </c>
      <c r="C93">
        <f>'Company_Profile'!B2</f>
        <v/>
      </c>
      <c r="W93">
        <f>IF(AND(O93="Closed",AE93="OK"),TODAY(),"")</f>
        <v/>
      </c>
      <c r="AB93">
        <f>IF(F93="","",IFERROR(VLOOKUP(F93,Action_Templates!$A:$Q,13,FALSE),""))</f>
        <v/>
      </c>
      <c r="AC93">
        <f>IF(F93="","",IFERROR(VLOOKUP(F93,Action_Templates!$A:$Q,14,FALSE),""))</f>
        <v/>
      </c>
      <c r="AD93">
        <f>IF(F93="","",IFERROR(VLOOKUP(F93,Action_Templates!$A:$Q,15,FALSE),""))</f>
        <v/>
      </c>
      <c r="AE93">
        <f>IF(O93="","",IF(OR(O93&lt;&gt;"Closed",AND(P93="YES",T93="Accepted")),"OK","BLOCKED"))</f>
        <v/>
      </c>
      <c r="AF93">
        <f>IF(OR(AC93="",R93=""),"",IF(ISNUMBER(SEARCH(AC93,R93)),"OK","CHECK"))</f>
        <v/>
      </c>
    </row>
    <row r="94">
      <c r="A94" t="inlineStr">
        <is>
          <t>ACT-00093</t>
        </is>
      </c>
      <c r="B94">
        <f>'Company_Profile'!B5</f>
        <v/>
      </c>
      <c r="C94">
        <f>'Company_Profile'!B2</f>
        <v/>
      </c>
      <c r="W94">
        <f>IF(AND(O94="Closed",AE94="OK"),TODAY(),"")</f>
        <v/>
      </c>
      <c r="AB94">
        <f>IF(F94="","",IFERROR(VLOOKUP(F94,Action_Templates!$A:$Q,13,FALSE),""))</f>
        <v/>
      </c>
      <c r="AC94">
        <f>IF(F94="","",IFERROR(VLOOKUP(F94,Action_Templates!$A:$Q,14,FALSE),""))</f>
        <v/>
      </c>
      <c r="AD94">
        <f>IF(F94="","",IFERROR(VLOOKUP(F94,Action_Templates!$A:$Q,15,FALSE),""))</f>
        <v/>
      </c>
      <c r="AE94">
        <f>IF(O94="","",IF(OR(O94&lt;&gt;"Closed",AND(P94="YES",T94="Accepted")),"OK","BLOCKED"))</f>
        <v/>
      </c>
      <c r="AF94">
        <f>IF(OR(AC94="",R94=""),"",IF(ISNUMBER(SEARCH(AC94,R94)),"OK","CHECK"))</f>
        <v/>
      </c>
    </row>
    <row r="95">
      <c r="A95" t="inlineStr">
        <is>
          <t>ACT-00094</t>
        </is>
      </c>
      <c r="B95">
        <f>'Company_Profile'!B5</f>
        <v/>
      </c>
      <c r="C95">
        <f>'Company_Profile'!B2</f>
        <v/>
      </c>
      <c r="W95">
        <f>IF(AND(O95="Closed",AE95="OK"),TODAY(),"")</f>
        <v/>
      </c>
      <c r="AB95">
        <f>IF(F95="","",IFERROR(VLOOKUP(F95,Action_Templates!$A:$Q,13,FALSE),""))</f>
        <v/>
      </c>
      <c r="AC95">
        <f>IF(F95="","",IFERROR(VLOOKUP(F95,Action_Templates!$A:$Q,14,FALSE),""))</f>
        <v/>
      </c>
      <c r="AD95">
        <f>IF(F95="","",IFERROR(VLOOKUP(F95,Action_Templates!$A:$Q,15,FALSE),""))</f>
        <v/>
      </c>
      <c r="AE95">
        <f>IF(O95="","",IF(OR(O95&lt;&gt;"Closed",AND(P95="YES",T95="Accepted")),"OK","BLOCKED"))</f>
        <v/>
      </c>
      <c r="AF95">
        <f>IF(OR(AC95="",R95=""),"",IF(ISNUMBER(SEARCH(AC95,R95)),"OK","CHECK"))</f>
        <v/>
      </c>
    </row>
    <row r="96">
      <c r="A96" t="inlineStr">
        <is>
          <t>ACT-00095</t>
        </is>
      </c>
      <c r="B96">
        <f>'Company_Profile'!B5</f>
        <v/>
      </c>
      <c r="C96">
        <f>'Company_Profile'!B2</f>
        <v/>
      </c>
      <c r="W96">
        <f>IF(AND(O96="Closed",AE96="OK"),TODAY(),"")</f>
        <v/>
      </c>
      <c r="AB96">
        <f>IF(F96="","",IFERROR(VLOOKUP(F96,Action_Templates!$A:$Q,13,FALSE),""))</f>
        <v/>
      </c>
      <c r="AC96">
        <f>IF(F96="","",IFERROR(VLOOKUP(F96,Action_Templates!$A:$Q,14,FALSE),""))</f>
        <v/>
      </c>
      <c r="AD96">
        <f>IF(F96="","",IFERROR(VLOOKUP(F96,Action_Templates!$A:$Q,15,FALSE),""))</f>
        <v/>
      </c>
      <c r="AE96">
        <f>IF(O96="","",IF(OR(O96&lt;&gt;"Closed",AND(P96="YES",T96="Accepted")),"OK","BLOCKED"))</f>
        <v/>
      </c>
      <c r="AF96">
        <f>IF(OR(AC96="",R96=""),"",IF(ISNUMBER(SEARCH(AC96,R96)),"OK","CHECK"))</f>
        <v/>
      </c>
    </row>
    <row r="97">
      <c r="A97" t="inlineStr">
        <is>
          <t>ACT-00096</t>
        </is>
      </c>
      <c r="B97">
        <f>'Company_Profile'!B5</f>
        <v/>
      </c>
      <c r="C97">
        <f>'Company_Profile'!B2</f>
        <v/>
      </c>
      <c r="W97">
        <f>IF(AND(O97="Closed",AE97="OK"),TODAY(),"")</f>
        <v/>
      </c>
      <c r="AB97">
        <f>IF(F97="","",IFERROR(VLOOKUP(F97,Action_Templates!$A:$Q,13,FALSE),""))</f>
        <v/>
      </c>
      <c r="AC97">
        <f>IF(F97="","",IFERROR(VLOOKUP(F97,Action_Templates!$A:$Q,14,FALSE),""))</f>
        <v/>
      </c>
      <c r="AD97">
        <f>IF(F97="","",IFERROR(VLOOKUP(F97,Action_Templates!$A:$Q,15,FALSE),""))</f>
        <v/>
      </c>
      <c r="AE97">
        <f>IF(O97="","",IF(OR(O97&lt;&gt;"Closed",AND(P97="YES",T97="Accepted")),"OK","BLOCKED"))</f>
        <v/>
      </c>
      <c r="AF97">
        <f>IF(OR(AC97="",R97=""),"",IF(ISNUMBER(SEARCH(AC97,R97)),"OK","CHECK"))</f>
        <v/>
      </c>
    </row>
    <row r="98">
      <c r="A98" t="inlineStr">
        <is>
          <t>ACT-00097</t>
        </is>
      </c>
      <c r="B98">
        <f>'Company_Profile'!B5</f>
        <v/>
      </c>
      <c r="C98">
        <f>'Company_Profile'!B2</f>
        <v/>
      </c>
      <c r="W98">
        <f>IF(AND(O98="Closed",AE98="OK"),TODAY(),"")</f>
        <v/>
      </c>
      <c r="AB98">
        <f>IF(F98="","",IFERROR(VLOOKUP(F98,Action_Templates!$A:$Q,13,FALSE),""))</f>
        <v/>
      </c>
      <c r="AC98">
        <f>IF(F98="","",IFERROR(VLOOKUP(F98,Action_Templates!$A:$Q,14,FALSE),""))</f>
        <v/>
      </c>
      <c r="AD98">
        <f>IF(F98="","",IFERROR(VLOOKUP(F98,Action_Templates!$A:$Q,15,FALSE),""))</f>
        <v/>
      </c>
      <c r="AE98">
        <f>IF(O98="","",IF(OR(O98&lt;&gt;"Closed",AND(P98="YES",T98="Accepted")),"OK","BLOCKED"))</f>
        <v/>
      </c>
      <c r="AF98">
        <f>IF(OR(AC98="",R98=""),"",IF(ISNUMBER(SEARCH(AC98,R98)),"OK","CHECK"))</f>
        <v/>
      </c>
    </row>
    <row r="99">
      <c r="A99" t="inlineStr">
        <is>
          <t>ACT-00098</t>
        </is>
      </c>
      <c r="B99">
        <f>'Company_Profile'!B5</f>
        <v/>
      </c>
      <c r="C99">
        <f>'Company_Profile'!B2</f>
        <v/>
      </c>
      <c r="W99">
        <f>IF(AND(O99="Closed",AE99="OK"),TODAY(),"")</f>
        <v/>
      </c>
      <c r="AB99">
        <f>IF(F99="","",IFERROR(VLOOKUP(F99,Action_Templates!$A:$Q,13,FALSE),""))</f>
        <v/>
      </c>
      <c r="AC99">
        <f>IF(F99="","",IFERROR(VLOOKUP(F99,Action_Templates!$A:$Q,14,FALSE),""))</f>
        <v/>
      </c>
      <c r="AD99">
        <f>IF(F99="","",IFERROR(VLOOKUP(F99,Action_Templates!$A:$Q,15,FALSE),""))</f>
        <v/>
      </c>
      <c r="AE99">
        <f>IF(O99="","",IF(OR(O99&lt;&gt;"Closed",AND(P99="YES",T99="Accepted")),"OK","BLOCKED"))</f>
        <v/>
      </c>
      <c r="AF99">
        <f>IF(OR(AC99="",R99=""),"",IF(ISNUMBER(SEARCH(AC99,R99)),"OK","CHECK"))</f>
        <v/>
      </c>
    </row>
    <row r="100">
      <c r="A100" t="inlineStr">
        <is>
          <t>ACT-00099</t>
        </is>
      </c>
      <c r="B100">
        <f>'Company_Profile'!B5</f>
        <v/>
      </c>
      <c r="C100">
        <f>'Company_Profile'!B2</f>
        <v/>
      </c>
      <c r="W100">
        <f>IF(AND(O100="Closed",AE100="OK"),TODAY(),"")</f>
        <v/>
      </c>
      <c r="AB100">
        <f>IF(F100="","",IFERROR(VLOOKUP(F100,Action_Templates!$A:$Q,13,FALSE),""))</f>
        <v/>
      </c>
      <c r="AC100">
        <f>IF(F100="","",IFERROR(VLOOKUP(F100,Action_Templates!$A:$Q,14,FALSE),""))</f>
        <v/>
      </c>
      <c r="AD100">
        <f>IF(F100="","",IFERROR(VLOOKUP(F100,Action_Templates!$A:$Q,15,FALSE),""))</f>
        <v/>
      </c>
      <c r="AE100">
        <f>IF(O100="","",IF(OR(O100&lt;&gt;"Closed",AND(P100="YES",T100="Accepted")),"OK","BLOCKED"))</f>
        <v/>
      </c>
      <c r="AF100">
        <f>IF(OR(AC100="",R100=""),"",IF(ISNUMBER(SEARCH(AC100,R100)),"OK","CHECK"))</f>
        <v/>
      </c>
    </row>
    <row r="101">
      <c r="A101" t="inlineStr">
        <is>
          <t>ACT-00100</t>
        </is>
      </c>
      <c r="B101">
        <f>'Company_Profile'!B5</f>
        <v/>
      </c>
      <c r="C101">
        <f>'Company_Profile'!B2</f>
        <v/>
      </c>
      <c r="W101">
        <f>IF(AND(O101="Closed",AE101="OK"),TODAY(),"")</f>
        <v/>
      </c>
      <c r="AB101">
        <f>IF(F101="","",IFERROR(VLOOKUP(F101,Action_Templates!$A:$Q,13,FALSE),""))</f>
        <v/>
      </c>
      <c r="AC101">
        <f>IF(F101="","",IFERROR(VLOOKUP(F101,Action_Templates!$A:$Q,14,FALSE),""))</f>
        <v/>
      </c>
      <c r="AD101">
        <f>IF(F101="","",IFERROR(VLOOKUP(F101,Action_Templates!$A:$Q,15,FALSE),""))</f>
        <v/>
      </c>
      <c r="AE101">
        <f>IF(O101="","",IF(OR(O101&lt;&gt;"Closed",AND(P101="YES",T101="Accepted")),"OK","BLOCKED"))</f>
        <v/>
      </c>
      <c r="AF101">
        <f>IF(OR(AC101="",R101=""),"",IF(ISNUMBER(SEARCH(AC101,R101)),"OK","CHECK"))</f>
        <v/>
      </c>
    </row>
    <row r="102">
      <c r="A102" t="inlineStr">
        <is>
          <t>ACT-00101</t>
        </is>
      </c>
      <c r="B102">
        <f>'Company_Profile'!B5</f>
        <v/>
      </c>
      <c r="C102">
        <f>'Company_Profile'!B2</f>
        <v/>
      </c>
      <c r="W102">
        <f>IF(AND(O102="Closed",AE102="OK"),TODAY(),"")</f>
        <v/>
      </c>
      <c r="AB102">
        <f>IF(F102="","",IFERROR(VLOOKUP(F102,Action_Templates!$A:$Q,13,FALSE),""))</f>
        <v/>
      </c>
      <c r="AC102">
        <f>IF(F102="","",IFERROR(VLOOKUP(F102,Action_Templates!$A:$Q,14,FALSE),""))</f>
        <v/>
      </c>
      <c r="AD102">
        <f>IF(F102="","",IFERROR(VLOOKUP(F102,Action_Templates!$A:$Q,15,FALSE),""))</f>
        <v/>
      </c>
      <c r="AE102">
        <f>IF(O102="","",IF(OR(O102&lt;&gt;"Closed",AND(P102="YES",T102="Accepted")),"OK","BLOCKED"))</f>
        <v/>
      </c>
      <c r="AF102">
        <f>IF(OR(AC102="",R102=""),"",IF(ISNUMBER(SEARCH(AC102,R102)),"OK","CHECK"))</f>
        <v/>
      </c>
    </row>
    <row r="103">
      <c r="A103" t="inlineStr">
        <is>
          <t>ACT-00102</t>
        </is>
      </c>
      <c r="B103">
        <f>'Company_Profile'!B5</f>
        <v/>
      </c>
      <c r="C103">
        <f>'Company_Profile'!B2</f>
        <v/>
      </c>
      <c r="W103">
        <f>IF(AND(O103="Closed",AE103="OK"),TODAY(),"")</f>
        <v/>
      </c>
      <c r="AB103">
        <f>IF(F103="","",IFERROR(VLOOKUP(F103,Action_Templates!$A:$Q,13,FALSE),""))</f>
        <v/>
      </c>
      <c r="AC103">
        <f>IF(F103="","",IFERROR(VLOOKUP(F103,Action_Templates!$A:$Q,14,FALSE),""))</f>
        <v/>
      </c>
      <c r="AD103">
        <f>IF(F103="","",IFERROR(VLOOKUP(F103,Action_Templates!$A:$Q,15,FALSE),""))</f>
        <v/>
      </c>
      <c r="AE103">
        <f>IF(O103="","",IF(OR(O103&lt;&gt;"Closed",AND(P103="YES",T103="Accepted")),"OK","BLOCKED"))</f>
        <v/>
      </c>
      <c r="AF103">
        <f>IF(OR(AC103="",R103=""),"",IF(ISNUMBER(SEARCH(AC103,R103)),"OK","CHECK"))</f>
        <v/>
      </c>
    </row>
    <row r="104">
      <c r="A104" t="inlineStr">
        <is>
          <t>ACT-00103</t>
        </is>
      </c>
      <c r="B104">
        <f>'Company_Profile'!B5</f>
        <v/>
      </c>
      <c r="C104">
        <f>'Company_Profile'!B2</f>
        <v/>
      </c>
      <c r="W104">
        <f>IF(AND(O104="Closed",AE104="OK"),TODAY(),"")</f>
        <v/>
      </c>
      <c r="AB104">
        <f>IF(F104="","",IFERROR(VLOOKUP(F104,Action_Templates!$A:$Q,13,FALSE),""))</f>
        <v/>
      </c>
      <c r="AC104">
        <f>IF(F104="","",IFERROR(VLOOKUP(F104,Action_Templates!$A:$Q,14,FALSE),""))</f>
        <v/>
      </c>
      <c r="AD104">
        <f>IF(F104="","",IFERROR(VLOOKUP(F104,Action_Templates!$A:$Q,15,FALSE),""))</f>
        <v/>
      </c>
      <c r="AE104">
        <f>IF(O104="","",IF(OR(O104&lt;&gt;"Closed",AND(P104="YES",T104="Accepted")),"OK","BLOCKED"))</f>
        <v/>
      </c>
      <c r="AF104">
        <f>IF(OR(AC104="",R104=""),"",IF(ISNUMBER(SEARCH(AC104,R104)),"OK","CHECK"))</f>
        <v/>
      </c>
    </row>
    <row r="105">
      <c r="A105" t="inlineStr">
        <is>
          <t>ACT-00104</t>
        </is>
      </c>
      <c r="B105">
        <f>'Company_Profile'!B5</f>
        <v/>
      </c>
      <c r="C105">
        <f>'Company_Profile'!B2</f>
        <v/>
      </c>
      <c r="W105">
        <f>IF(AND(O105="Closed",AE105="OK"),TODAY(),"")</f>
        <v/>
      </c>
      <c r="AB105">
        <f>IF(F105="","",IFERROR(VLOOKUP(F105,Action_Templates!$A:$Q,13,FALSE),""))</f>
        <v/>
      </c>
      <c r="AC105">
        <f>IF(F105="","",IFERROR(VLOOKUP(F105,Action_Templates!$A:$Q,14,FALSE),""))</f>
        <v/>
      </c>
      <c r="AD105">
        <f>IF(F105="","",IFERROR(VLOOKUP(F105,Action_Templates!$A:$Q,15,FALSE),""))</f>
        <v/>
      </c>
      <c r="AE105">
        <f>IF(O105="","",IF(OR(O105&lt;&gt;"Closed",AND(P105="YES",T105="Accepted")),"OK","BLOCKED"))</f>
        <v/>
      </c>
      <c r="AF105">
        <f>IF(OR(AC105="",R105=""),"",IF(ISNUMBER(SEARCH(AC105,R105)),"OK","CHECK"))</f>
        <v/>
      </c>
    </row>
    <row r="106">
      <c r="A106" t="inlineStr">
        <is>
          <t>ACT-00105</t>
        </is>
      </c>
      <c r="B106">
        <f>'Company_Profile'!B5</f>
        <v/>
      </c>
      <c r="C106">
        <f>'Company_Profile'!B2</f>
        <v/>
      </c>
      <c r="W106">
        <f>IF(AND(O106="Closed",AE106="OK"),TODAY(),"")</f>
        <v/>
      </c>
      <c r="AB106">
        <f>IF(F106="","",IFERROR(VLOOKUP(F106,Action_Templates!$A:$Q,13,FALSE),""))</f>
        <v/>
      </c>
      <c r="AC106">
        <f>IF(F106="","",IFERROR(VLOOKUP(F106,Action_Templates!$A:$Q,14,FALSE),""))</f>
        <v/>
      </c>
      <c r="AD106">
        <f>IF(F106="","",IFERROR(VLOOKUP(F106,Action_Templates!$A:$Q,15,FALSE),""))</f>
        <v/>
      </c>
      <c r="AE106">
        <f>IF(O106="","",IF(OR(O106&lt;&gt;"Closed",AND(P106="YES",T106="Accepted")),"OK","BLOCKED"))</f>
        <v/>
      </c>
      <c r="AF106">
        <f>IF(OR(AC106="",R106=""),"",IF(ISNUMBER(SEARCH(AC106,R106)),"OK","CHECK"))</f>
        <v/>
      </c>
    </row>
    <row r="107">
      <c r="A107" t="inlineStr">
        <is>
          <t>ACT-00106</t>
        </is>
      </c>
      <c r="B107">
        <f>'Company_Profile'!B5</f>
        <v/>
      </c>
      <c r="C107">
        <f>'Company_Profile'!B2</f>
        <v/>
      </c>
      <c r="W107">
        <f>IF(AND(O107="Closed",AE107="OK"),TODAY(),"")</f>
        <v/>
      </c>
      <c r="AB107">
        <f>IF(F107="","",IFERROR(VLOOKUP(F107,Action_Templates!$A:$Q,13,FALSE),""))</f>
        <v/>
      </c>
      <c r="AC107">
        <f>IF(F107="","",IFERROR(VLOOKUP(F107,Action_Templates!$A:$Q,14,FALSE),""))</f>
        <v/>
      </c>
      <c r="AD107">
        <f>IF(F107="","",IFERROR(VLOOKUP(F107,Action_Templates!$A:$Q,15,FALSE),""))</f>
        <v/>
      </c>
      <c r="AE107">
        <f>IF(O107="","",IF(OR(O107&lt;&gt;"Closed",AND(P107="YES",T107="Accepted")),"OK","BLOCKED"))</f>
        <v/>
      </c>
      <c r="AF107">
        <f>IF(OR(AC107="",R107=""),"",IF(ISNUMBER(SEARCH(AC107,R107)),"OK","CHECK"))</f>
        <v/>
      </c>
    </row>
    <row r="108">
      <c r="A108" t="inlineStr">
        <is>
          <t>ACT-00107</t>
        </is>
      </c>
      <c r="B108">
        <f>'Company_Profile'!B5</f>
        <v/>
      </c>
      <c r="C108">
        <f>'Company_Profile'!B2</f>
        <v/>
      </c>
      <c r="W108">
        <f>IF(AND(O108="Closed",AE108="OK"),TODAY(),"")</f>
        <v/>
      </c>
      <c r="AB108">
        <f>IF(F108="","",IFERROR(VLOOKUP(F108,Action_Templates!$A:$Q,13,FALSE),""))</f>
        <v/>
      </c>
      <c r="AC108">
        <f>IF(F108="","",IFERROR(VLOOKUP(F108,Action_Templates!$A:$Q,14,FALSE),""))</f>
        <v/>
      </c>
      <c r="AD108">
        <f>IF(F108="","",IFERROR(VLOOKUP(F108,Action_Templates!$A:$Q,15,FALSE),""))</f>
        <v/>
      </c>
      <c r="AE108">
        <f>IF(O108="","",IF(OR(O108&lt;&gt;"Closed",AND(P108="YES",T108="Accepted")),"OK","BLOCKED"))</f>
        <v/>
      </c>
      <c r="AF108">
        <f>IF(OR(AC108="",R108=""),"",IF(ISNUMBER(SEARCH(AC108,R108)),"OK","CHECK"))</f>
        <v/>
      </c>
    </row>
    <row r="109">
      <c r="A109" t="inlineStr">
        <is>
          <t>ACT-00108</t>
        </is>
      </c>
      <c r="B109">
        <f>'Company_Profile'!B5</f>
        <v/>
      </c>
      <c r="C109">
        <f>'Company_Profile'!B2</f>
        <v/>
      </c>
      <c r="W109">
        <f>IF(AND(O109="Closed",AE109="OK"),TODAY(),"")</f>
        <v/>
      </c>
      <c r="AB109">
        <f>IF(F109="","",IFERROR(VLOOKUP(F109,Action_Templates!$A:$Q,13,FALSE),""))</f>
        <v/>
      </c>
      <c r="AC109">
        <f>IF(F109="","",IFERROR(VLOOKUP(F109,Action_Templates!$A:$Q,14,FALSE),""))</f>
        <v/>
      </c>
      <c r="AD109">
        <f>IF(F109="","",IFERROR(VLOOKUP(F109,Action_Templates!$A:$Q,15,FALSE),""))</f>
        <v/>
      </c>
      <c r="AE109">
        <f>IF(O109="","",IF(OR(O109&lt;&gt;"Closed",AND(P109="YES",T109="Accepted")),"OK","BLOCKED"))</f>
        <v/>
      </c>
      <c r="AF109">
        <f>IF(OR(AC109="",R109=""),"",IF(ISNUMBER(SEARCH(AC109,R109)),"OK","CHECK"))</f>
        <v/>
      </c>
    </row>
    <row r="110">
      <c r="A110" t="inlineStr">
        <is>
          <t>ACT-00109</t>
        </is>
      </c>
      <c r="B110">
        <f>'Company_Profile'!B5</f>
        <v/>
      </c>
      <c r="C110">
        <f>'Company_Profile'!B2</f>
        <v/>
      </c>
      <c r="W110">
        <f>IF(AND(O110="Closed",AE110="OK"),TODAY(),"")</f>
        <v/>
      </c>
      <c r="AB110">
        <f>IF(F110="","",IFERROR(VLOOKUP(F110,Action_Templates!$A:$Q,13,FALSE),""))</f>
        <v/>
      </c>
      <c r="AC110">
        <f>IF(F110="","",IFERROR(VLOOKUP(F110,Action_Templates!$A:$Q,14,FALSE),""))</f>
        <v/>
      </c>
      <c r="AD110">
        <f>IF(F110="","",IFERROR(VLOOKUP(F110,Action_Templates!$A:$Q,15,FALSE),""))</f>
        <v/>
      </c>
      <c r="AE110">
        <f>IF(O110="","",IF(OR(O110&lt;&gt;"Closed",AND(P110="YES",T110="Accepted")),"OK","BLOCKED"))</f>
        <v/>
      </c>
      <c r="AF110">
        <f>IF(OR(AC110="",R110=""),"",IF(ISNUMBER(SEARCH(AC110,R110)),"OK","CHECK"))</f>
        <v/>
      </c>
    </row>
    <row r="111">
      <c r="A111" t="inlineStr">
        <is>
          <t>ACT-00110</t>
        </is>
      </c>
      <c r="B111">
        <f>'Company_Profile'!B5</f>
        <v/>
      </c>
      <c r="C111">
        <f>'Company_Profile'!B2</f>
        <v/>
      </c>
      <c r="W111">
        <f>IF(AND(O111="Closed",AE111="OK"),TODAY(),"")</f>
        <v/>
      </c>
      <c r="AB111">
        <f>IF(F111="","",IFERROR(VLOOKUP(F111,Action_Templates!$A:$Q,13,FALSE),""))</f>
        <v/>
      </c>
      <c r="AC111">
        <f>IF(F111="","",IFERROR(VLOOKUP(F111,Action_Templates!$A:$Q,14,FALSE),""))</f>
        <v/>
      </c>
      <c r="AD111">
        <f>IF(F111="","",IFERROR(VLOOKUP(F111,Action_Templates!$A:$Q,15,FALSE),""))</f>
        <v/>
      </c>
      <c r="AE111">
        <f>IF(O111="","",IF(OR(O111&lt;&gt;"Closed",AND(P111="YES",T111="Accepted")),"OK","BLOCKED"))</f>
        <v/>
      </c>
      <c r="AF111">
        <f>IF(OR(AC111="",R111=""),"",IF(ISNUMBER(SEARCH(AC111,R111)),"OK","CHECK"))</f>
        <v/>
      </c>
    </row>
    <row r="112">
      <c r="A112" t="inlineStr">
        <is>
          <t>ACT-00111</t>
        </is>
      </c>
      <c r="B112">
        <f>'Company_Profile'!B5</f>
        <v/>
      </c>
      <c r="C112">
        <f>'Company_Profile'!B2</f>
        <v/>
      </c>
      <c r="W112">
        <f>IF(AND(O112="Closed",AE112="OK"),TODAY(),"")</f>
        <v/>
      </c>
      <c r="AB112">
        <f>IF(F112="","",IFERROR(VLOOKUP(F112,Action_Templates!$A:$Q,13,FALSE),""))</f>
        <v/>
      </c>
      <c r="AC112">
        <f>IF(F112="","",IFERROR(VLOOKUP(F112,Action_Templates!$A:$Q,14,FALSE),""))</f>
        <v/>
      </c>
      <c r="AD112">
        <f>IF(F112="","",IFERROR(VLOOKUP(F112,Action_Templates!$A:$Q,15,FALSE),""))</f>
        <v/>
      </c>
      <c r="AE112">
        <f>IF(O112="","",IF(OR(O112&lt;&gt;"Closed",AND(P112="YES",T112="Accepted")),"OK","BLOCKED"))</f>
        <v/>
      </c>
      <c r="AF112">
        <f>IF(OR(AC112="",R112=""),"",IF(ISNUMBER(SEARCH(AC112,R112)),"OK","CHECK"))</f>
        <v/>
      </c>
    </row>
    <row r="113">
      <c r="A113" t="inlineStr">
        <is>
          <t>ACT-00112</t>
        </is>
      </c>
      <c r="B113">
        <f>'Company_Profile'!B5</f>
        <v/>
      </c>
      <c r="C113">
        <f>'Company_Profile'!B2</f>
        <v/>
      </c>
      <c r="W113">
        <f>IF(AND(O113="Closed",AE113="OK"),TODAY(),"")</f>
        <v/>
      </c>
      <c r="AB113">
        <f>IF(F113="","",IFERROR(VLOOKUP(F113,Action_Templates!$A:$Q,13,FALSE),""))</f>
        <v/>
      </c>
      <c r="AC113">
        <f>IF(F113="","",IFERROR(VLOOKUP(F113,Action_Templates!$A:$Q,14,FALSE),""))</f>
        <v/>
      </c>
      <c r="AD113">
        <f>IF(F113="","",IFERROR(VLOOKUP(F113,Action_Templates!$A:$Q,15,FALSE),""))</f>
        <v/>
      </c>
      <c r="AE113">
        <f>IF(O113="","",IF(OR(O113&lt;&gt;"Closed",AND(P113="YES",T113="Accepted")),"OK","BLOCKED"))</f>
        <v/>
      </c>
      <c r="AF113">
        <f>IF(OR(AC113="",R113=""),"",IF(ISNUMBER(SEARCH(AC113,R113)),"OK","CHECK"))</f>
        <v/>
      </c>
    </row>
    <row r="114">
      <c r="A114" t="inlineStr">
        <is>
          <t>ACT-00113</t>
        </is>
      </c>
      <c r="B114">
        <f>'Company_Profile'!B5</f>
        <v/>
      </c>
      <c r="C114">
        <f>'Company_Profile'!B2</f>
        <v/>
      </c>
      <c r="W114">
        <f>IF(AND(O114="Closed",AE114="OK"),TODAY(),"")</f>
        <v/>
      </c>
      <c r="AB114">
        <f>IF(F114="","",IFERROR(VLOOKUP(F114,Action_Templates!$A:$Q,13,FALSE),""))</f>
        <v/>
      </c>
      <c r="AC114">
        <f>IF(F114="","",IFERROR(VLOOKUP(F114,Action_Templates!$A:$Q,14,FALSE),""))</f>
        <v/>
      </c>
      <c r="AD114">
        <f>IF(F114="","",IFERROR(VLOOKUP(F114,Action_Templates!$A:$Q,15,FALSE),""))</f>
        <v/>
      </c>
      <c r="AE114">
        <f>IF(O114="","",IF(OR(O114&lt;&gt;"Closed",AND(P114="YES",T114="Accepted")),"OK","BLOCKED"))</f>
        <v/>
      </c>
      <c r="AF114">
        <f>IF(OR(AC114="",R114=""),"",IF(ISNUMBER(SEARCH(AC114,R114)),"OK","CHECK"))</f>
        <v/>
      </c>
    </row>
    <row r="115">
      <c r="A115" t="inlineStr">
        <is>
          <t>ACT-00114</t>
        </is>
      </c>
      <c r="B115">
        <f>'Company_Profile'!B5</f>
        <v/>
      </c>
      <c r="C115">
        <f>'Company_Profile'!B2</f>
        <v/>
      </c>
      <c r="W115">
        <f>IF(AND(O115="Closed",AE115="OK"),TODAY(),"")</f>
        <v/>
      </c>
      <c r="AB115">
        <f>IF(F115="","",IFERROR(VLOOKUP(F115,Action_Templates!$A:$Q,13,FALSE),""))</f>
        <v/>
      </c>
      <c r="AC115">
        <f>IF(F115="","",IFERROR(VLOOKUP(F115,Action_Templates!$A:$Q,14,FALSE),""))</f>
        <v/>
      </c>
      <c r="AD115">
        <f>IF(F115="","",IFERROR(VLOOKUP(F115,Action_Templates!$A:$Q,15,FALSE),""))</f>
        <v/>
      </c>
      <c r="AE115">
        <f>IF(O115="","",IF(OR(O115&lt;&gt;"Closed",AND(P115="YES",T115="Accepted")),"OK","BLOCKED"))</f>
        <v/>
      </c>
      <c r="AF115">
        <f>IF(OR(AC115="",R115=""),"",IF(ISNUMBER(SEARCH(AC115,R115)),"OK","CHECK"))</f>
        <v/>
      </c>
    </row>
    <row r="116">
      <c r="A116" t="inlineStr">
        <is>
          <t>ACT-00115</t>
        </is>
      </c>
      <c r="B116">
        <f>'Company_Profile'!B5</f>
        <v/>
      </c>
      <c r="C116">
        <f>'Company_Profile'!B2</f>
        <v/>
      </c>
      <c r="W116">
        <f>IF(AND(O116="Closed",AE116="OK"),TODAY(),"")</f>
        <v/>
      </c>
      <c r="AB116">
        <f>IF(F116="","",IFERROR(VLOOKUP(F116,Action_Templates!$A:$Q,13,FALSE),""))</f>
        <v/>
      </c>
      <c r="AC116">
        <f>IF(F116="","",IFERROR(VLOOKUP(F116,Action_Templates!$A:$Q,14,FALSE),""))</f>
        <v/>
      </c>
      <c r="AD116">
        <f>IF(F116="","",IFERROR(VLOOKUP(F116,Action_Templates!$A:$Q,15,FALSE),""))</f>
        <v/>
      </c>
      <c r="AE116">
        <f>IF(O116="","",IF(OR(O116&lt;&gt;"Closed",AND(P116="YES",T116="Accepted")),"OK","BLOCKED"))</f>
        <v/>
      </c>
      <c r="AF116">
        <f>IF(OR(AC116="",R116=""),"",IF(ISNUMBER(SEARCH(AC116,R116)),"OK","CHECK"))</f>
        <v/>
      </c>
    </row>
    <row r="117">
      <c r="A117" t="inlineStr">
        <is>
          <t>ACT-00116</t>
        </is>
      </c>
      <c r="B117">
        <f>'Company_Profile'!B5</f>
        <v/>
      </c>
      <c r="C117">
        <f>'Company_Profile'!B2</f>
        <v/>
      </c>
      <c r="W117">
        <f>IF(AND(O117="Closed",AE117="OK"),TODAY(),"")</f>
        <v/>
      </c>
      <c r="AB117">
        <f>IF(F117="","",IFERROR(VLOOKUP(F117,Action_Templates!$A:$Q,13,FALSE),""))</f>
        <v/>
      </c>
      <c r="AC117">
        <f>IF(F117="","",IFERROR(VLOOKUP(F117,Action_Templates!$A:$Q,14,FALSE),""))</f>
        <v/>
      </c>
      <c r="AD117">
        <f>IF(F117="","",IFERROR(VLOOKUP(F117,Action_Templates!$A:$Q,15,FALSE),""))</f>
        <v/>
      </c>
      <c r="AE117">
        <f>IF(O117="","",IF(OR(O117&lt;&gt;"Closed",AND(P117="YES",T117="Accepted")),"OK","BLOCKED"))</f>
        <v/>
      </c>
      <c r="AF117">
        <f>IF(OR(AC117="",R117=""),"",IF(ISNUMBER(SEARCH(AC117,R117)),"OK","CHECK"))</f>
        <v/>
      </c>
    </row>
    <row r="118">
      <c r="A118" t="inlineStr">
        <is>
          <t>ACT-00117</t>
        </is>
      </c>
      <c r="B118">
        <f>'Company_Profile'!B5</f>
        <v/>
      </c>
      <c r="C118">
        <f>'Company_Profile'!B2</f>
        <v/>
      </c>
      <c r="W118">
        <f>IF(AND(O118="Closed",AE118="OK"),TODAY(),"")</f>
        <v/>
      </c>
      <c r="AB118">
        <f>IF(F118="","",IFERROR(VLOOKUP(F118,Action_Templates!$A:$Q,13,FALSE),""))</f>
        <v/>
      </c>
      <c r="AC118">
        <f>IF(F118="","",IFERROR(VLOOKUP(F118,Action_Templates!$A:$Q,14,FALSE),""))</f>
        <v/>
      </c>
      <c r="AD118">
        <f>IF(F118="","",IFERROR(VLOOKUP(F118,Action_Templates!$A:$Q,15,FALSE),""))</f>
        <v/>
      </c>
      <c r="AE118">
        <f>IF(O118="","",IF(OR(O118&lt;&gt;"Closed",AND(P118="YES",T118="Accepted")),"OK","BLOCKED"))</f>
        <v/>
      </c>
      <c r="AF118">
        <f>IF(OR(AC118="",R118=""),"",IF(ISNUMBER(SEARCH(AC118,R118)),"OK","CHECK"))</f>
        <v/>
      </c>
    </row>
    <row r="119">
      <c r="A119" t="inlineStr">
        <is>
          <t>ACT-00118</t>
        </is>
      </c>
      <c r="B119">
        <f>'Company_Profile'!B5</f>
        <v/>
      </c>
      <c r="C119">
        <f>'Company_Profile'!B2</f>
        <v/>
      </c>
      <c r="W119">
        <f>IF(AND(O119="Closed",AE119="OK"),TODAY(),"")</f>
        <v/>
      </c>
      <c r="AB119">
        <f>IF(F119="","",IFERROR(VLOOKUP(F119,Action_Templates!$A:$Q,13,FALSE),""))</f>
        <v/>
      </c>
      <c r="AC119">
        <f>IF(F119="","",IFERROR(VLOOKUP(F119,Action_Templates!$A:$Q,14,FALSE),""))</f>
        <v/>
      </c>
      <c r="AD119">
        <f>IF(F119="","",IFERROR(VLOOKUP(F119,Action_Templates!$A:$Q,15,FALSE),""))</f>
        <v/>
      </c>
      <c r="AE119">
        <f>IF(O119="","",IF(OR(O119&lt;&gt;"Closed",AND(P119="YES",T119="Accepted")),"OK","BLOCKED"))</f>
        <v/>
      </c>
      <c r="AF119">
        <f>IF(OR(AC119="",R119=""),"",IF(ISNUMBER(SEARCH(AC119,R119)),"OK","CHECK"))</f>
        <v/>
      </c>
    </row>
    <row r="120">
      <c r="A120" t="inlineStr">
        <is>
          <t>ACT-00119</t>
        </is>
      </c>
      <c r="B120">
        <f>'Company_Profile'!B5</f>
        <v/>
      </c>
      <c r="C120">
        <f>'Company_Profile'!B2</f>
        <v/>
      </c>
      <c r="W120">
        <f>IF(AND(O120="Closed",AE120="OK"),TODAY(),"")</f>
        <v/>
      </c>
      <c r="AB120">
        <f>IF(F120="","",IFERROR(VLOOKUP(F120,Action_Templates!$A:$Q,13,FALSE),""))</f>
        <v/>
      </c>
      <c r="AC120">
        <f>IF(F120="","",IFERROR(VLOOKUP(F120,Action_Templates!$A:$Q,14,FALSE),""))</f>
        <v/>
      </c>
      <c r="AD120">
        <f>IF(F120="","",IFERROR(VLOOKUP(F120,Action_Templates!$A:$Q,15,FALSE),""))</f>
        <v/>
      </c>
      <c r="AE120">
        <f>IF(O120="","",IF(OR(O120&lt;&gt;"Closed",AND(P120="YES",T120="Accepted")),"OK","BLOCKED"))</f>
        <v/>
      </c>
      <c r="AF120">
        <f>IF(OR(AC120="",R120=""),"",IF(ISNUMBER(SEARCH(AC120,R120)),"OK","CHECK"))</f>
        <v/>
      </c>
    </row>
    <row r="121">
      <c r="A121" t="inlineStr">
        <is>
          <t>ACT-00120</t>
        </is>
      </c>
      <c r="B121">
        <f>'Company_Profile'!B5</f>
        <v/>
      </c>
      <c r="C121">
        <f>'Company_Profile'!B2</f>
        <v/>
      </c>
      <c r="W121">
        <f>IF(AND(O121="Closed",AE121="OK"),TODAY(),"")</f>
        <v/>
      </c>
      <c r="AB121">
        <f>IF(F121="","",IFERROR(VLOOKUP(F121,Action_Templates!$A:$Q,13,FALSE),""))</f>
        <v/>
      </c>
      <c r="AC121">
        <f>IF(F121="","",IFERROR(VLOOKUP(F121,Action_Templates!$A:$Q,14,FALSE),""))</f>
        <v/>
      </c>
      <c r="AD121">
        <f>IF(F121="","",IFERROR(VLOOKUP(F121,Action_Templates!$A:$Q,15,FALSE),""))</f>
        <v/>
      </c>
      <c r="AE121">
        <f>IF(O121="","",IF(OR(O121&lt;&gt;"Closed",AND(P121="YES",T121="Accepted")),"OK","BLOCKED"))</f>
        <v/>
      </c>
      <c r="AF121">
        <f>IF(OR(AC121="",R121=""),"",IF(ISNUMBER(SEARCH(AC121,R121)),"OK","CHECK"))</f>
        <v/>
      </c>
    </row>
    <row r="122">
      <c r="A122" t="inlineStr">
        <is>
          <t>ACT-00121</t>
        </is>
      </c>
      <c r="B122">
        <f>'Company_Profile'!B5</f>
        <v/>
      </c>
      <c r="C122">
        <f>'Company_Profile'!B2</f>
        <v/>
      </c>
      <c r="W122">
        <f>IF(AND(O122="Closed",AE122="OK"),TODAY(),"")</f>
        <v/>
      </c>
      <c r="AB122">
        <f>IF(F122="","",IFERROR(VLOOKUP(F122,Action_Templates!$A:$Q,13,FALSE),""))</f>
        <v/>
      </c>
      <c r="AC122">
        <f>IF(F122="","",IFERROR(VLOOKUP(F122,Action_Templates!$A:$Q,14,FALSE),""))</f>
        <v/>
      </c>
      <c r="AD122">
        <f>IF(F122="","",IFERROR(VLOOKUP(F122,Action_Templates!$A:$Q,15,FALSE),""))</f>
        <v/>
      </c>
      <c r="AE122">
        <f>IF(O122="","",IF(OR(O122&lt;&gt;"Closed",AND(P122="YES",T122="Accepted")),"OK","BLOCKED"))</f>
        <v/>
      </c>
      <c r="AF122">
        <f>IF(OR(AC122="",R122=""),"",IF(ISNUMBER(SEARCH(AC122,R122)),"OK","CHECK"))</f>
        <v/>
      </c>
    </row>
    <row r="123">
      <c r="A123" t="inlineStr">
        <is>
          <t>ACT-00122</t>
        </is>
      </c>
      <c r="B123">
        <f>'Company_Profile'!B5</f>
        <v/>
      </c>
      <c r="C123">
        <f>'Company_Profile'!B2</f>
        <v/>
      </c>
      <c r="W123">
        <f>IF(AND(O123="Closed",AE123="OK"),TODAY(),"")</f>
        <v/>
      </c>
      <c r="AB123">
        <f>IF(F123="","",IFERROR(VLOOKUP(F123,Action_Templates!$A:$Q,13,FALSE),""))</f>
        <v/>
      </c>
      <c r="AC123">
        <f>IF(F123="","",IFERROR(VLOOKUP(F123,Action_Templates!$A:$Q,14,FALSE),""))</f>
        <v/>
      </c>
      <c r="AD123">
        <f>IF(F123="","",IFERROR(VLOOKUP(F123,Action_Templates!$A:$Q,15,FALSE),""))</f>
        <v/>
      </c>
      <c r="AE123">
        <f>IF(O123="","",IF(OR(O123&lt;&gt;"Closed",AND(P123="YES",T123="Accepted")),"OK","BLOCKED"))</f>
        <v/>
      </c>
      <c r="AF123">
        <f>IF(OR(AC123="",R123=""),"",IF(ISNUMBER(SEARCH(AC123,R123)),"OK","CHECK"))</f>
        <v/>
      </c>
    </row>
    <row r="124">
      <c r="A124" t="inlineStr">
        <is>
          <t>ACT-00123</t>
        </is>
      </c>
      <c r="B124">
        <f>'Company_Profile'!B5</f>
        <v/>
      </c>
      <c r="C124">
        <f>'Company_Profile'!B2</f>
        <v/>
      </c>
      <c r="W124">
        <f>IF(AND(O124="Closed",AE124="OK"),TODAY(),"")</f>
        <v/>
      </c>
      <c r="AB124">
        <f>IF(F124="","",IFERROR(VLOOKUP(F124,Action_Templates!$A:$Q,13,FALSE),""))</f>
        <v/>
      </c>
      <c r="AC124">
        <f>IF(F124="","",IFERROR(VLOOKUP(F124,Action_Templates!$A:$Q,14,FALSE),""))</f>
        <v/>
      </c>
      <c r="AD124">
        <f>IF(F124="","",IFERROR(VLOOKUP(F124,Action_Templates!$A:$Q,15,FALSE),""))</f>
        <v/>
      </c>
      <c r="AE124">
        <f>IF(O124="","",IF(OR(O124&lt;&gt;"Closed",AND(P124="YES",T124="Accepted")),"OK","BLOCKED"))</f>
        <v/>
      </c>
      <c r="AF124">
        <f>IF(OR(AC124="",R124=""),"",IF(ISNUMBER(SEARCH(AC124,R124)),"OK","CHECK"))</f>
        <v/>
      </c>
    </row>
    <row r="125">
      <c r="A125" t="inlineStr">
        <is>
          <t>ACT-00124</t>
        </is>
      </c>
      <c r="B125">
        <f>'Company_Profile'!B5</f>
        <v/>
      </c>
      <c r="C125">
        <f>'Company_Profile'!B2</f>
        <v/>
      </c>
      <c r="W125">
        <f>IF(AND(O125="Closed",AE125="OK"),TODAY(),"")</f>
        <v/>
      </c>
      <c r="AB125">
        <f>IF(F125="","",IFERROR(VLOOKUP(F125,Action_Templates!$A:$Q,13,FALSE),""))</f>
        <v/>
      </c>
      <c r="AC125">
        <f>IF(F125="","",IFERROR(VLOOKUP(F125,Action_Templates!$A:$Q,14,FALSE),""))</f>
        <v/>
      </c>
      <c r="AD125">
        <f>IF(F125="","",IFERROR(VLOOKUP(F125,Action_Templates!$A:$Q,15,FALSE),""))</f>
        <v/>
      </c>
      <c r="AE125">
        <f>IF(O125="","",IF(OR(O125&lt;&gt;"Closed",AND(P125="YES",T125="Accepted")),"OK","BLOCKED"))</f>
        <v/>
      </c>
      <c r="AF125">
        <f>IF(OR(AC125="",R125=""),"",IF(ISNUMBER(SEARCH(AC125,R125)),"OK","CHECK"))</f>
        <v/>
      </c>
    </row>
    <row r="126">
      <c r="A126" t="inlineStr">
        <is>
          <t>ACT-00125</t>
        </is>
      </c>
      <c r="B126">
        <f>'Company_Profile'!B5</f>
        <v/>
      </c>
      <c r="C126">
        <f>'Company_Profile'!B2</f>
        <v/>
      </c>
      <c r="W126">
        <f>IF(AND(O126="Closed",AE126="OK"),TODAY(),"")</f>
        <v/>
      </c>
      <c r="AB126">
        <f>IF(F126="","",IFERROR(VLOOKUP(F126,Action_Templates!$A:$Q,13,FALSE),""))</f>
        <v/>
      </c>
      <c r="AC126">
        <f>IF(F126="","",IFERROR(VLOOKUP(F126,Action_Templates!$A:$Q,14,FALSE),""))</f>
        <v/>
      </c>
      <c r="AD126">
        <f>IF(F126="","",IFERROR(VLOOKUP(F126,Action_Templates!$A:$Q,15,FALSE),""))</f>
        <v/>
      </c>
      <c r="AE126">
        <f>IF(O126="","",IF(OR(O126&lt;&gt;"Closed",AND(P126="YES",T126="Accepted")),"OK","BLOCKED"))</f>
        <v/>
      </c>
      <c r="AF126">
        <f>IF(OR(AC126="",R126=""),"",IF(ISNUMBER(SEARCH(AC126,R126)),"OK","CHECK"))</f>
        <v/>
      </c>
    </row>
    <row r="127">
      <c r="A127" t="inlineStr">
        <is>
          <t>ACT-00126</t>
        </is>
      </c>
      <c r="B127">
        <f>'Company_Profile'!B5</f>
        <v/>
      </c>
      <c r="C127">
        <f>'Company_Profile'!B2</f>
        <v/>
      </c>
      <c r="W127">
        <f>IF(AND(O127="Closed",AE127="OK"),TODAY(),"")</f>
        <v/>
      </c>
      <c r="AB127">
        <f>IF(F127="","",IFERROR(VLOOKUP(F127,Action_Templates!$A:$Q,13,FALSE),""))</f>
        <v/>
      </c>
      <c r="AC127">
        <f>IF(F127="","",IFERROR(VLOOKUP(F127,Action_Templates!$A:$Q,14,FALSE),""))</f>
        <v/>
      </c>
      <c r="AD127">
        <f>IF(F127="","",IFERROR(VLOOKUP(F127,Action_Templates!$A:$Q,15,FALSE),""))</f>
        <v/>
      </c>
      <c r="AE127">
        <f>IF(O127="","",IF(OR(O127&lt;&gt;"Closed",AND(P127="YES",T127="Accepted")),"OK","BLOCKED"))</f>
        <v/>
      </c>
      <c r="AF127">
        <f>IF(OR(AC127="",R127=""),"",IF(ISNUMBER(SEARCH(AC127,R127)),"OK","CHECK"))</f>
        <v/>
      </c>
    </row>
    <row r="128">
      <c r="A128" t="inlineStr">
        <is>
          <t>ACT-00127</t>
        </is>
      </c>
      <c r="B128">
        <f>'Company_Profile'!B5</f>
        <v/>
      </c>
      <c r="C128">
        <f>'Company_Profile'!B2</f>
        <v/>
      </c>
      <c r="W128">
        <f>IF(AND(O128="Closed",AE128="OK"),TODAY(),"")</f>
        <v/>
      </c>
      <c r="AB128">
        <f>IF(F128="","",IFERROR(VLOOKUP(F128,Action_Templates!$A:$Q,13,FALSE),""))</f>
        <v/>
      </c>
      <c r="AC128">
        <f>IF(F128="","",IFERROR(VLOOKUP(F128,Action_Templates!$A:$Q,14,FALSE),""))</f>
        <v/>
      </c>
      <c r="AD128">
        <f>IF(F128="","",IFERROR(VLOOKUP(F128,Action_Templates!$A:$Q,15,FALSE),""))</f>
        <v/>
      </c>
      <c r="AE128">
        <f>IF(O128="","",IF(OR(O128&lt;&gt;"Closed",AND(P128="YES",T128="Accepted")),"OK","BLOCKED"))</f>
        <v/>
      </c>
      <c r="AF128">
        <f>IF(OR(AC128="",R128=""),"",IF(ISNUMBER(SEARCH(AC128,R128)),"OK","CHECK"))</f>
        <v/>
      </c>
    </row>
    <row r="129">
      <c r="A129" t="inlineStr">
        <is>
          <t>ACT-00128</t>
        </is>
      </c>
      <c r="B129">
        <f>'Company_Profile'!B5</f>
        <v/>
      </c>
      <c r="C129">
        <f>'Company_Profile'!B2</f>
        <v/>
      </c>
      <c r="W129">
        <f>IF(AND(O129="Closed",AE129="OK"),TODAY(),"")</f>
        <v/>
      </c>
      <c r="AB129">
        <f>IF(F129="","",IFERROR(VLOOKUP(F129,Action_Templates!$A:$Q,13,FALSE),""))</f>
        <v/>
      </c>
      <c r="AC129">
        <f>IF(F129="","",IFERROR(VLOOKUP(F129,Action_Templates!$A:$Q,14,FALSE),""))</f>
        <v/>
      </c>
      <c r="AD129">
        <f>IF(F129="","",IFERROR(VLOOKUP(F129,Action_Templates!$A:$Q,15,FALSE),""))</f>
        <v/>
      </c>
      <c r="AE129">
        <f>IF(O129="","",IF(OR(O129&lt;&gt;"Closed",AND(P129="YES",T129="Accepted")),"OK","BLOCKED"))</f>
        <v/>
      </c>
      <c r="AF129">
        <f>IF(OR(AC129="",R129=""),"",IF(ISNUMBER(SEARCH(AC129,R129)),"OK","CHECK"))</f>
        <v/>
      </c>
    </row>
    <row r="130">
      <c r="A130" t="inlineStr">
        <is>
          <t>ACT-00129</t>
        </is>
      </c>
      <c r="B130">
        <f>'Company_Profile'!B5</f>
        <v/>
      </c>
      <c r="C130">
        <f>'Company_Profile'!B2</f>
        <v/>
      </c>
      <c r="W130">
        <f>IF(AND(O130="Closed",AE130="OK"),TODAY(),"")</f>
        <v/>
      </c>
      <c r="AB130">
        <f>IF(F130="","",IFERROR(VLOOKUP(F130,Action_Templates!$A:$Q,13,FALSE),""))</f>
        <v/>
      </c>
      <c r="AC130">
        <f>IF(F130="","",IFERROR(VLOOKUP(F130,Action_Templates!$A:$Q,14,FALSE),""))</f>
        <v/>
      </c>
      <c r="AD130">
        <f>IF(F130="","",IFERROR(VLOOKUP(F130,Action_Templates!$A:$Q,15,FALSE),""))</f>
        <v/>
      </c>
      <c r="AE130">
        <f>IF(O130="","",IF(OR(O130&lt;&gt;"Closed",AND(P130="YES",T130="Accepted")),"OK","BLOCKED"))</f>
        <v/>
      </c>
      <c r="AF130">
        <f>IF(OR(AC130="",R130=""),"",IF(ISNUMBER(SEARCH(AC130,R130)),"OK","CHECK"))</f>
        <v/>
      </c>
    </row>
    <row r="131">
      <c r="A131" t="inlineStr">
        <is>
          <t>ACT-00130</t>
        </is>
      </c>
      <c r="B131">
        <f>'Company_Profile'!B5</f>
        <v/>
      </c>
      <c r="C131">
        <f>'Company_Profile'!B2</f>
        <v/>
      </c>
      <c r="W131">
        <f>IF(AND(O131="Closed",AE131="OK"),TODAY(),"")</f>
        <v/>
      </c>
      <c r="AB131">
        <f>IF(F131="","",IFERROR(VLOOKUP(F131,Action_Templates!$A:$Q,13,FALSE),""))</f>
        <v/>
      </c>
      <c r="AC131">
        <f>IF(F131="","",IFERROR(VLOOKUP(F131,Action_Templates!$A:$Q,14,FALSE),""))</f>
        <v/>
      </c>
      <c r="AD131">
        <f>IF(F131="","",IFERROR(VLOOKUP(F131,Action_Templates!$A:$Q,15,FALSE),""))</f>
        <v/>
      </c>
      <c r="AE131">
        <f>IF(O131="","",IF(OR(O131&lt;&gt;"Closed",AND(P131="YES",T131="Accepted")),"OK","BLOCKED"))</f>
        <v/>
      </c>
      <c r="AF131">
        <f>IF(OR(AC131="",R131=""),"",IF(ISNUMBER(SEARCH(AC131,R131)),"OK","CHECK"))</f>
        <v/>
      </c>
    </row>
    <row r="132">
      <c r="A132" t="inlineStr">
        <is>
          <t>ACT-00131</t>
        </is>
      </c>
      <c r="B132">
        <f>'Company_Profile'!B5</f>
        <v/>
      </c>
      <c r="C132">
        <f>'Company_Profile'!B2</f>
        <v/>
      </c>
      <c r="W132">
        <f>IF(AND(O132="Closed",AE132="OK"),TODAY(),"")</f>
        <v/>
      </c>
      <c r="AB132">
        <f>IF(F132="","",IFERROR(VLOOKUP(F132,Action_Templates!$A:$Q,13,FALSE),""))</f>
        <v/>
      </c>
      <c r="AC132">
        <f>IF(F132="","",IFERROR(VLOOKUP(F132,Action_Templates!$A:$Q,14,FALSE),""))</f>
        <v/>
      </c>
      <c r="AD132">
        <f>IF(F132="","",IFERROR(VLOOKUP(F132,Action_Templates!$A:$Q,15,FALSE),""))</f>
        <v/>
      </c>
      <c r="AE132">
        <f>IF(O132="","",IF(OR(O132&lt;&gt;"Closed",AND(P132="YES",T132="Accepted")),"OK","BLOCKED"))</f>
        <v/>
      </c>
      <c r="AF132">
        <f>IF(OR(AC132="",R132=""),"",IF(ISNUMBER(SEARCH(AC132,R132)),"OK","CHECK"))</f>
        <v/>
      </c>
    </row>
    <row r="133">
      <c r="A133" t="inlineStr">
        <is>
          <t>ACT-00132</t>
        </is>
      </c>
      <c r="B133">
        <f>'Company_Profile'!B5</f>
        <v/>
      </c>
      <c r="C133">
        <f>'Company_Profile'!B2</f>
        <v/>
      </c>
      <c r="W133">
        <f>IF(AND(O133="Closed",AE133="OK"),TODAY(),"")</f>
        <v/>
      </c>
      <c r="AB133">
        <f>IF(F133="","",IFERROR(VLOOKUP(F133,Action_Templates!$A:$Q,13,FALSE),""))</f>
        <v/>
      </c>
      <c r="AC133">
        <f>IF(F133="","",IFERROR(VLOOKUP(F133,Action_Templates!$A:$Q,14,FALSE),""))</f>
        <v/>
      </c>
      <c r="AD133">
        <f>IF(F133="","",IFERROR(VLOOKUP(F133,Action_Templates!$A:$Q,15,FALSE),""))</f>
        <v/>
      </c>
      <c r="AE133">
        <f>IF(O133="","",IF(OR(O133&lt;&gt;"Closed",AND(P133="YES",T133="Accepted")),"OK","BLOCKED"))</f>
        <v/>
      </c>
      <c r="AF133">
        <f>IF(OR(AC133="",R133=""),"",IF(ISNUMBER(SEARCH(AC133,R133)),"OK","CHECK"))</f>
        <v/>
      </c>
    </row>
    <row r="134">
      <c r="A134" t="inlineStr">
        <is>
          <t>ACT-00133</t>
        </is>
      </c>
      <c r="B134">
        <f>'Company_Profile'!B5</f>
        <v/>
      </c>
      <c r="C134">
        <f>'Company_Profile'!B2</f>
        <v/>
      </c>
      <c r="W134">
        <f>IF(AND(O134="Closed",AE134="OK"),TODAY(),"")</f>
        <v/>
      </c>
      <c r="AB134">
        <f>IF(F134="","",IFERROR(VLOOKUP(F134,Action_Templates!$A:$Q,13,FALSE),""))</f>
        <v/>
      </c>
      <c r="AC134">
        <f>IF(F134="","",IFERROR(VLOOKUP(F134,Action_Templates!$A:$Q,14,FALSE),""))</f>
        <v/>
      </c>
      <c r="AD134">
        <f>IF(F134="","",IFERROR(VLOOKUP(F134,Action_Templates!$A:$Q,15,FALSE),""))</f>
        <v/>
      </c>
      <c r="AE134">
        <f>IF(O134="","",IF(OR(O134&lt;&gt;"Closed",AND(P134="YES",T134="Accepted")),"OK","BLOCKED"))</f>
        <v/>
      </c>
      <c r="AF134">
        <f>IF(OR(AC134="",R134=""),"",IF(ISNUMBER(SEARCH(AC134,R134)),"OK","CHECK"))</f>
        <v/>
      </c>
    </row>
    <row r="135">
      <c r="A135" t="inlineStr">
        <is>
          <t>ACT-00134</t>
        </is>
      </c>
      <c r="B135">
        <f>'Company_Profile'!B5</f>
        <v/>
      </c>
      <c r="C135">
        <f>'Company_Profile'!B2</f>
        <v/>
      </c>
      <c r="W135">
        <f>IF(AND(O135="Closed",AE135="OK"),TODAY(),"")</f>
        <v/>
      </c>
      <c r="AB135">
        <f>IF(F135="","",IFERROR(VLOOKUP(F135,Action_Templates!$A:$Q,13,FALSE),""))</f>
        <v/>
      </c>
      <c r="AC135">
        <f>IF(F135="","",IFERROR(VLOOKUP(F135,Action_Templates!$A:$Q,14,FALSE),""))</f>
        <v/>
      </c>
      <c r="AD135">
        <f>IF(F135="","",IFERROR(VLOOKUP(F135,Action_Templates!$A:$Q,15,FALSE),""))</f>
        <v/>
      </c>
      <c r="AE135">
        <f>IF(O135="","",IF(OR(O135&lt;&gt;"Closed",AND(P135="YES",T135="Accepted")),"OK","BLOCKED"))</f>
        <v/>
      </c>
      <c r="AF135">
        <f>IF(OR(AC135="",R135=""),"",IF(ISNUMBER(SEARCH(AC135,R135)),"OK","CHECK"))</f>
        <v/>
      </c>
    </row>
    <row r="136">
      <c r="A136" t="inlineStr">
        <is>
          <t>ACT-00135</t>
        </is>
      </c>
      <c r="B136">
        <f>'Company_Profile'!B5</f>
        <v/>
      </c>
      <c r="C136">
        <f>'Company_Profile'!B2</f>
        <v/>
      </c>
      <c r="W136">
        <f>IF(AND(O136="Closed",AE136="OK"),TODAY(),"")</f>
        <v/>
      </c>
      <c r="AB136">
        <f>IF(F136="","",IFERROR(VLOOKUP(F136,Action_Templates!$A:$Q,13,FALSE),""))</f>
        <v/>
      </c>
      <c r="AC136">
        <f>IF(F136="","",IFERROR(VLOOKUP(F136,Action_Templates!$A:$Q,14,FALSE),""))</f>
        <v/>
      </c>
      <c r="AD136">
        <f>IF(F136="","",IFERROR(VLOOKUP(F136,Action_Templates!$A:$Q,15,FALSE),""))</f>
        <v/>
      </c>
      <c r="AE136">
        <f>IF(O136="","",IF(OR(O136&lt;&gt;"Closed",AND(P136="YES",T136="Accepted")),"OK","BLOCKED"))</f>
        <v/>
      </c>
      <c r="AF136">
        <f>IF(OR(AC136="",R136=""),"",IF(ISNUMBER(SEARCH(AC136,R136)),"OK","CHECK"))</f>
        <v/>
      </c>
    </row>
    <row r="137">
      <c r="A137" t="inlineStr">
        <is>
          <t>ACT-00136</t>
        </is>
      </c>
      <c r="B137">
        <f>'Company_Profile'!B5</f>
        <v/>
      </c>
      <c r="C137">
        <f>'Company_Profile'!B2</f>
        <v/>
      </c>
      <c r="W137">
        <f>IF(AND(O137="Closed",AE137="OK"),TODAY(),"")</f>
        <v/>
      </c>
      <c r="AB137">
        <f>IF(F137="","",IFERROR(VLOOKUP(F137,Action_Templates!$A:$Q,13,FALSE),""))</f>
        <v/>
      </c>
      <c r="AC137">
        <f>IF(F137="","",IFERROR(VLOOKUP(F137,Action_Templates!$A:$Q,14,FALSE),""))</f>
        <v/>
      </c>
      <c r="AD137">
        <f>IF(F137="","",IFERROR(VLOOKUP(F137,Action_Templates!$A:$Q,15,FALSE),""))</f>
        <v/>
      </c>
      <c r="AE137">
        <f>IF(O137="","",IF(OR(O137&lt;&gt;"Closed",AND(P137="YES",T137="Accepted")),"OK","BLOCKED"))</f>
        <v/>
      </c>
      <c r="AF137">
        <f>IF(OR(AC137="",R137=""),"",IF(ISNUMBER(SEARCH(AC137,R137)),"OK","CHECK"))</f>
        <v/>
      </c>
    </row>
    <row r="138">
      <c r="A138" t="inlineStr">
        <is>
          <t>ACT-00137</t>
        </is>
      </c>
      <c r="B138">
        <f>'Company_Profile'!B5</f>
        <v/>
      </c>
      <c r="C138">
        <f>'Company_Profile'!B2</f>
        <v/>
      </c>
      <c r="W138">
        <f>IF(AND(O138="Closed",AE138="OK"),TODAY(),"")</f>
        <v/>
      </c>
      <c r="AB138">
        <f>IF(F138="","",IFERROR(VLOOKUP(F138,Action_Templates!$A:$Q,13,FALSE),""))</f>
        <v/>
      </c>
      <c r="AC138">
        <f>IF(F138="","",IFERROR(VLOOKUP(F138,Action_Templates!$A:$Q,14,FALSE),""))</f>
        <v/>
      </c>
      <c r="AD138">
        <f>IF(F138="","",IFERROR(VLOOKUP(F138,Action_Templates!$A:$Q,15,FALSE),""))</f>
        <v/>
      </c>
      <c r="AE138">
        <f>IF(O138="","",IF(OR(O138&lt;&gt;"Closed",AND(P138="YES",T138="Accepted")),"OK","BLOCKED"))</f>
        <v/>
      </c>
      <c r="AF138">
        <f>IF(OR(AC138="",R138=""),"",IF(ISNUMBER(SEARCH(AC138,R138)),"OK","CHECK"))</f>
        <v/>
      </c>
    </row>
    <row r="139">
      <c r="A139" t="inlineStr">
        <is>
          <t>ACT-00138</t>
        </is>
      </c>
      <c r="B139">
        <f>'Company_Profile'!B5</f>
        <v/>
      </c>
      <c r="C139">
        <f>'Company_Profile'!B2</f>
        <v/>
      </c>
      <c r="W139">
        <f>IF(AND(O139="Closed",AE139="OK"),TODAY(),"")</f>
        <v/>
      </c>
      <c r="AB139">
        <f>IF(F139="","",IFERROR(VLOOKUP(F139,Action_Templates!$A:$Q,13,FALSE),""))</f>
        <v/>
      </c>
      <c r="AC139">
        <f>IF(F139="","",IFERROR(VLOOKUP(F139,Action_Templates!$A:$Q,14,FALSE),""))</f>
        <v/>
      </c>
      <c r="AD139">
        <f>IF(F139="","",IFERROR(VLOOKUP(F139,Action_Templates!$A:$Q,15,FALSE),""))</f>
        <v/>
      </c>
      <c r="AE139">
        <f>IF(O139="","",IF(OR(O139&lt;&gt;"Closed",AND(P139="YES",T139="Accepted")),"OK","BLOCKED"))</f>
        <v/>
      </c>
      <c r="AF139">
        <f>IF(OR(AC139="",R139=""),"",IF(ISNUMBER(SEARCH(AC139,R139)),"OK","CHECK"))</f>
        <v/>
      </c>
    </row>
    <row r="140">
      <c r="A140" t="inlineStr">
        <is>
          <t>ACT-00139</t>
        </is>
      </c>
      <c r="B140">
        <f>'Company_Profile'!B5</f>
        <v/>
      </c>
      <c r="C140">
        <f>'Company_Profile'!B2</f>
        <v/>
      </c>
      <c r="W140">
        <f>IF(AND(O140="Closed",AE140="OK"),TODAY(),"")</f>
        <v/>
      </c>
      <c r="AB140">
        <f>IF(F140="","",IFERROR(VLOOKUP(F140,Action_Templates!$A:$Q,13,FALSE),""))</f>
        <v/>
      </c>
      <c r="AC140">
        <f>IF(F140="","",IFERROR(VLOOKUP(F140,Action_Templates!$A:$Q,14,FALSE),""))</f>
        <v/>
      </c>
      <c r="AD140">
        <f>IF(F140="","",IFERROR(VLOOKUP(F140,Action_Templates!$A:$Q,15,FALSE),""))</f>
        <v/>
      </c>
      <c r="AE140">
        <f>IF(O140="","",IF(OR(O140&lt;&gt;"Closed",AND(P140="YES",T140="Accepted")),"OK","BLOCKED"))</f>
        <v/>
      </c>
      <c r="AF140">
        <f>IF(OR(AC140="",R140=""),"",IF(ISNUMBER(SEARCH(AC140,R140)),"OK","CHECK"))</f>
        <v/>
      </c>
    </row>
    <row r="141">
      <c r="A141" t="inlineStr">
        <is>
          <t>ACT-00140</t>
        </is>
      </c>
      <c r="B141">
        <f>'Company_Profile'!B5</f>
        <v/>
      </c>
      <c r="C141">
        <f>'Company_Profile'!B2</f>
        <v/>
      </c>
      <c r="W141">
        <f>IF(AND(O141="Closed",AE141="OK"),TODAY(),"")</f>
        <v/>
      </c>
      <c r="AB141">
        <f>IF(F141="","",IFERROR(VLOOKUP(F141,Action_Templates!$A:$Q,13,FALSE),""))</f>
        <v/>
      </c>
      <c r="AC141">
        <f>IF(F141="","",IFERROR(VLOOKUP(F141,Action_Templates!$A:$Q,14,FALSE),""))</f>
        <v/>
      </c>
      <c r="AD141">
        <f>IF(F141="","",IFERROR(VLOOKUP(F141,Action_Templates!$A:$Q,15,FALSE),""))</f>
        <v/>
      </c>
      <c r="AE141">
        <f>IF(O141="","",IF(OR(O141&lt;&gt;"Closed",AND(P141="YES",T141="Accepted")),"OK","BLOCKED"))</f>
        <v/>
      </c>
      <c r="AF141">
        <f>IF(OR(AC141="",R141=""),"",IF(ISNUMBER(SEARCH(AC141,R141)),"OK","CHECK"))</f>
        <v/>
      </c>
    </row>
    <row r="142">
      <c r="A142" t="inlineStr">
        <is>
          <t>ACT-00141</t>
        </is>
      </c>
      <c r="B142">
        <f>'Company_Profile'!B5</f>
        <v/>
      </c>
      <c r="C142">
        <f>'Company_Profile'!B2</f>
        <v/>
      </c>
      <c r="W142">
        <f>IF(AND(O142="Closed",AE142="OK"),TODAY(),"")</f>
        <v/>
      </c>
      <c r="AB142">
        <f>IF(F142="","",IFERROR(VLOOKUP(F142,Action_Templates!$A:$Q,13,FALSE),""))</f>
        <v/>
      </c>
      <c r="AC142">
        <f>IF(F142="","",IFERROR(VLOOKUP(F142,Action_Templates!$A:$Q,14,FALSE),""))</f>
        <v/>
      </c>
      <c r="AD142">
        <f>IF(F142="","",IFERROR(VLOOKUP(F142,Action_Templates!$A:$Q,15,FALSE),""))</f>
        <v/>
      </c>
      <c r="AE142">
        <f>IF(O142="","",IF(OR(O142&lt;&gt;"Closed",AND(P142="YES",T142="Accepted")),"OK","BLOCKED"))</f>
        <v/>
      </c>
      <c r="AF142">
        <f>IF(OR(AC142="",R142=""),"",IF(ISNUMBER(SEARCH(AC142,R142)),"OK","CHECK"))</f>
        <v/>
      </c>
    </row>
    <row r="143">
      <c r="A143" t="inlineStr">
        <is>
          <t>ACT-00142</t>
        </is>
      </c>
      <c r="B143">
        <f>'Company_Profile'!B5</f>
        <v/>
      </c>
      <c r="C143">
        <f>'Company_Profile'!B2</f>
        <v/>
      </c>
      <c r="W143">
        <f>IF(AND(O143="Closed",AE143="OK"),TODAY(),"")</f>
        <v/>
      </c>
      <c r="AB143">
        <f>IF(F143="","",IFERROR(VLOOKUP(F143,Action_Templates!$A:$Q,13,FALSE),""))</f>
        <v/>
      </c>
      <c r="AC143">
        <f>IF(F143="","",IFERROR(VLOOKUP(F143,Action_Templates!$A:$Q,14,FALSE),""))</f>
        <v/>
      </c>
      <c r="AD143">
        <f>IF(F143="","",IFERROR(VLOOKUP(F143,Action_Templates!$A:$Q,15,FALSE),""))</f>
        <v/>
      </c>
      <c r="AE143">
        <f>IF(O143="","",IF(OR(O143&lt;&gt;"Closed",AND(P143="YES",T143="Accepted")),"OK","BLOCKED"))</f>
        <v/>
      </c>
      <c r="AF143">
        <f>IF(OR(AC143="",R143=""),"",IF(ISNUMBER(SEARCH(AC143,R143)),"OK","CHECK"))</f>
        <v/>
      </c>
    </row>
    <row r="144">
      <c r="A144" t="inlineStr">
        <is>
          <t>ACT-00143</t>
        </is>
      </c>
      <c r="B144">
        <f>'Company_Profile'!B5</f>
        <v/>
      </c>
      <c r="C144">
        <f>'Company_Profile'!B2</f>
        <v/>
      </c>
      <c r="W144">
        <f>IF(AND(O144="Closed",AE144="OK"),TODAY(),"")</f>
        <v/>
      </c>
      <c r="AB144">
        <f>IF(F144="","",IFERROR(VLOOKUP(F144,Action_Templates!$A:$Q,13,FALSE),""))</f>
        <v/>
      </c>
      <c r="AC144">
        <f>IF(F144="","",IFERROR(VLOOKUP(F144,Action_Templates!$A:$Q,14,FALSE),""))</f>
        <v/>
      </c>
      <c r="AD144">
        <f>IF(F144="","",IFERROR(VLOOKUP(F144,Action_Templates!$A:$Q,15,FALSE),""))</f>
        <v/>
      </c>
      <c r="AE144">
        <f>IF(O144="","",IF(OR(O144&lt;&gt;"Closed",AND(P144="YES",T144="Accepted")),"OK","BLOCKED"))</f>
        <v/>
      </c>
      <c r="AF144">
        <f>IF(OR(AC144="",R144=""),"",IF(ISNUMBER(SEARCH(AC144,R144)),"OK","CHECK"))</f>
        <v/>
      </c>
    </row>
    <row r="145">
      <c r="A145" t="inlineStr">
        <is>
          <t>ACT-00144</t>
        </is>
      </c>
      <c r="B145">
        <f>'Company_Profile'!B5</f>
        <v/>
      </c>
      <c r="C145">
        <f>'Company_Profile'!B2</f>
        <v/>
      </c>
      <c r="W145">
        <f>IF(AND(O145="Closed",AE145="OK"),TODAY(),"")</f>
        <v/>
      </c>
      <c r="AB145">
        <f>IF(F145="","",IFERROR(VLOOKUP(F145,Action_Templates!$A:$Q,13,FALSE),""))</f>
        <v/>
      </c>
      <c r="AC145">
        <f>IF(F145="","",IFERROR(VLOOKUP(F145,Action_Templates!$A:$Q,14,FALSE),""))</f>
        <v/>
      </c>
      <c r="AD145">
        <f>IF(F145="","",IFERROR(VLOOKUP(F145,Action_Templates!$A:$Q,15,FALSE),""))</f>
        <v/>
      </c>
      <c r="AE145">
        <f>IF(O145="","",IF(OR(O145&lt;&gt;"Closed",AND(P145="YES",T145="Accepted")),"OK","BLOCKED"))</f>
        <v/>
      </c>
      <c r="AF145">
        <f>IF(OR(AC145="",R145=""),"",IF(ISNUMBER(SEARCH(AC145,R145)),"OK","CHECK"))</f>
        <v/>
      </c>
    </row>
    <row r="146">
      <c r="A146" t="inlineStr">
        <is>
          <t>ACT-00145</t>
        </is>
      </c>
      <c r="B146">
        <f>'Company_Profile'!B5</f>
        <v/>
      </c>
      <c r="C146">
        <f>'Company_Profile'!B2</f>
        <v/>
      </c>
      <c r="W146">
        <f>IF(AND(O146="Closed",AE146="OK"),TODAY(),"")</f>
        <v/>
      </c>
      <c r="AB146">
        <f>IF(F146="","",IFERROR(VLOOKUP(F146,Action_Templates!$A:$Q,13,FALSE),""))</f>
        <v/>
      </c>
      <c r="AC146">
        <f>IF(F146="","",IFERROR(VLOOKUP(F146,Action_Templates!$A:$Q,14,FALSE),""))</f>
        <v/>
      </c>
      <c r="AD146">
        <f>IF(F146="","",IFERROR(VLOOKUP(F146,Action_Templates!$A:$Q,15,FALSE),""))</f>
        <v/>
      </c>
      <c r="AE146">
        <f>IF(O146="","",IF(OR(O146&lt;&gt;"Closed",AND(P146="YES",T146="Accepted")),"OK","BLOCKED"))</f>
        <v/>
      </c>
      <c r="AF146">
        <f>IF(OR(AC146="",R146=""),"",IF(ISNUMBER(SEARCH(AC146,R146)),"OK","CHECK"))</f>
        <v/>
      </c>
    </row>
    <row r="147">
      <c r="A147" t="inlineStr">
        <is>
          <t>ACT-00146</t>
        </is>
      </c>
      <c r="B147">
        <f>'Company_Profile'!B5</f>
        <v/>
      </c>
      <c r="C147">
        <f>'Company_Profile'!B2</f>
        <v/>
      </c>
      <c r="W147">
        <f>IF(AND(O147="Closed",AE147="OK"),TODAY(),"")</f>
        <v/>
      </c>
      <c r="AB147">
        <f>IF(F147="","",IFERROR(VLOOKUP(F147,Action_Templates!$A:$Q,13,FALSE),""))</f>
        <v/>
      </c>
      <c r="AC147">
        <f>IF(F147="","",IFERROR(VLOOKUP(F147,Action_Templates!$A:$Q,14,FALSE),""))</f>
        <v/>
      </c>
      <c r="AD147">
        <f>IF(F147="","",IFERROR(VLOOKUP(F147,Action_Templates!$A:$Q,15,FALSE),""))</f>
        <v/>
      </c>
      <c r="AE147">
        <f>IF(O147="","",IF(OR(O147&lt;&gt;"Closed",AND(P147="YES",T147="Accepted")),"OK","BLOCKED"))</f>
        <v/>
      </c>
      <c r="AF147">
        <f>IF(OR(AC147="",R147=""),"",IF(ISNUMBER(SEARCH(AC147,R147)),"OK","CHECK"))</f>
        <v/>
      </c>
    </row>
    <row r="148">
      <c r="A148" t="inlineStr">
        <is>
          <t>ACT-00147</t>
        </is>
      </c>
      <c r="B148">
        <f>'Company_Profile'!B5</f>
        <v/>
      </c>
      <c r="C148">
        <f>'Company_Profile'!B2</f>
        <v/>
      </c>
      <c r="W148">
        <f>IF(AND(O148="Closed",AE148="OK"),TODAY(),"")</f>
        <v/>
      </c>
      <c r="AB148">
        <f>IF(F148="","",IFERROR(VLOOKUP(F148,Action_Templates!$A:$Q,13,FALSE),""))</f>
        <v/>
      </c>
      <c r="AC148">
        <f>IF(F148="","",IFERROR(VLOOKUP(F148,Action_Templates!$A:$Q,14,FALSE),""))</f>
        <v/>
      </c>
      <c r="AD148">
        <f>IF(F148="","",IFERROR(VLOOKUP(F148,Action_Templates!$A:$Q,15,FALSE),""))</f>
        <v/>
      </c>
      <c r="AE148">
        <f>IF(O148="","",IF(OR(O148&lt;&gt;"Closed",AND(P148="YES",T148="Accepted")),"OK","BLOCKED"))</f>
        <v/>
      </c>
      <c r="AF148">
        <f>IF(OR(AC148="",R148=""),"",IF(ISNUMBER(SEARCH(AC148,R148)),"OK","CHECK"))</f>
        <v/>
      </c>
    </row>
    <row r="149">
      <c r="A149" t="inlineStr">
        <is>
          <t>ACT-00148</t>
        </is>
      </c>
      <c r="B149">
        <f>'Company_Profile'!B5</f>
        <v/>
      </c>
      <c r="C149">
        <f>'Company_Profile'!B2</f>
        <v/>
      </c>
      <c r="W149">
        <f>IF(AND(O149="Closed",AE149="OK"),TODAY(),"")</f>
        <v/>
      </c>
      <c r="AB149">
        <f>IF(F149="","",IFERROR(VLOOKUP(F149,Action_Templates!$A:$Q,13,FALSE),""))</f>
        <v/>
      </c>
      <c r="AC149">
        <f>IF(F149="","",IFERROR(VLOOKUP(F149,Action_Templates!$A:$Q,14,FALSE),""))</f>
        <v/>
      </c>
      <c r="AD149">
        <f>IF(F149="","",IFERROR(VLOOKUP(F149,Action_Templates!$A:$Q,15,FALSE),""))</f>
        <v/>
      </c>
      <c r="AE149">
        <f>IF(O149="","",IF(OR(O149&lt;&gt;"Closed",AND(P149="YES",T149="Accepted")),"OK","BLOCKED"))</f>
        <v/>
      </c>
      <c r="AF149">
        <f>IF(OR(AC149="",R149=""),"",IF(ISNUMBER(SEARCH(AC149,R149)),"OK","CHECK"))</f>
        <v/>
      </c>
    </row>
    <row r="150">
      <c r="A150" t="inlineStr">
        <is>
          <t>ACT-00149</t>
        </is>
      </c>
      <c r="B150">
        <f>'Company_Profile'!B5</f>
        <v/>
      </c>
      <c r="C150">
        <f>'Company_Profile'!B2</f>
        <v/>
      </c>
      <c r="W150">
        <f>IF(AND(O150="Closed",AE150="OK"),TODAY(),"")</f>
        <v/>
      </c>
      <c r="AB150">
        <f>IF(F150="","",IFERROR(VLOOKUP(F150,Action_Templates!$A:$Q,13,FALSE),""))</f>
        <v/>
      </c>
      <c r="AC150">
        <f>IF(F150="","",IFERROR(VLOOKUP(F150,Action_Templates!$A:$Q,14,FALSE),""))</f>
        <v/>
      </c>
      <c r="AD150">
        <f>IF(F150="","",IFERROR(VLOOKUP(F150,Action_Templates!$A:$Q,15,FALSE),""))</f>
        <v/>
      </c>
      <c r="AE150">
        <f>IF(O150="","",IF(OR(O150&lt;&gt;"Closed",AND(P150="YES",T150="Accepted")),"OK","BLOCKED"))</f>
        <v/>
      </c>
      <c r="AF150">
        <f>IF(OR(AC150="",R150=""),"",IF(ISNUMBER(SEARCH(AC150,R150)),"OK","CHECK"))</f>
        <v/>
      </c>
    </row>
    <row r="151">
      <c r="A151" t="inlineStr">
        <is>
          <t>ACT-00150</t>
        </is>
      </c>
      <c r="B151">
        <f>'Company_Profile'!B5</f>
        <v/>
      </c>
      <c r="C151">
        <f>'Company_Profile'!B2</f>
        <v/>
      </c>
      <c r="W151">
        <f>IF(AND(O151="Closed",AE151="OK"),TODAY(),"")</f>
        <v/>
      </c>
      <c r="AB151">
        <f>IF(F151="","",IFERROR(VLOOKUP(F151,Action_Templates!$A:$Q,13,FALSE),""))</f>
        <v/>
      </c>
      <c r="AC151">
        <f>IF(F151="","",IFERROR(VLOOKUP(F151,Action_Templates!$A:$Q,14,FALSE),""))</f>
        <v/>
      </c>
      <c r="AD151">
        <f>IF(F151="","",IFERROR(VLOOKUP(F151,Action_Templates!$A:$Q,15,FALSE),""))</f>
        <v/>
      </c>
      <c r="AE151">
        <f>IF(O151="","",IF(OR(O151&lt;&gt;"Closed",AND(P151="YES",T151="Accepted")),"OK","BLOCKED"))</f>
        <v/>
      </c>
      <c r="AF151">
        <f>IF(OR(AC151="",R151=""),"",IF(ISNUMBER(SEARCH(AC151,R151)),"OK","CHECK"))</f>
        <v/>
      </c>
    </row>
    <row r="152">
      <c r="A152" t="inlineStr">
        <is>
          <t>ACT-00151</t>
        </is>
      </c>
      <c r="B152">
        <f>'Company_Profile'!B5</f>
        <v/>
      </c>
      <c r="C152">
        <f>'Company_Profile'!B2</f>
        <v/>
      </c>
      <c r="W152">
        <f>IF(AND(O152="Closed",AE152="OK"),TODAY(),"")</f>
        <v/>
      </c>
      <c r="AB152">
        <f>IF(F152="","",IFERROR(VLOOKUP(F152,Action_Templates!$A:$Q,13,FALSE),""))</f>
        <v/>
      </c>
      <c r="AC152">
        <f>IF(F152="","",IFERROR(VLOOKUP(F152,Action_Templates!$A:$Q,14,FALSE),""))</f>
        <v/>
      </c>
      <c r="AD152">
        <f>IF(F152="","",IFERROR(VLOOKUP(F152,Action_Templates!$A:$Q,15,FALSE),""))</f>
        <v/>
      </c>
      <c r="AE152">
        <f>IF(O152="","",IF(OR(O152&lt;&gt;"Closed",AND(P152="YES",T152="Accepted")),"OK","BLOCKED"))</f>
        <v/>
      </c>
      <c r="AF152">
        <f>IF(OR(AC152="",R152=""),"",IF(ISNUMBER(SEARCH(AC152,R152)),"OK","CHECK"))</f>
        <v/>
      </c>
    </row>
    <row r="153">
      <c r="A153" t="inlineStr">
        <is>
          <t>ACT-00152</t>
        </is>
      </c>
      <c r="B153">
        <f>'Company_Profile'!B5</f>
        <v/>
      </c>
      <c r="C153">
        <f>'Company_Profile'!B2</f>
        <v/>
      </c>
      <c r="W153">
        <f>IF(AND(O153="Closed",AE153="OK"),TODAY(),"")</f>
        <v/>
      </c>
      <c r="AB153">
        <f>IF(F153="","",IFERROR(VLOOKUP(F153,Action_Templates!$A:$Q,13,FALSE),""))</f>
        <v/>
      </c>
      <c r="AC153">
        <f>IF(F153="","",IFERROR(VLOOKUP(F153,Action_Templates!$A:$Q,14,FALSE),""))</f>
        <v/>
      </c>
      <c r="AD153">
        <f>IF(F153="","",IFERROR(VLOOKUP(F153,Action_Templates!$A:$Q,15,FALSE),""))</f>
        <v/>
      </c>
      <c r="AE153">
        <f>IF(O153="","",IF(OR(O153&lt;&gt;"Closed",AND(P153="YES",T153="Accepted")),"OK","BLOCKED"))</f>
        <v/>
      </c>
      <c r="AF153">
        <f>IF(OR(AC153="",R153=""),"",IF(ISNUMBER(SEARCH(AC153,R153)),"OK","CHECK"))</f>
        <v/>
      </c>
    </row>
    <row r="154">
      <c r="A154" t="inlineStr">
        <is>
          <t>ACT-00153</t>
        </is>
      </c>
      <c r="B154">
        <f>'Company_Profile'!B5</f>
        <v/>
      </c>
      <c r="C154">
        <f>'Company_Profile'!B2</f>
        <v/>
      </c>
      <c r="W154">
        <f>IF(AND(O154="Closed",AE154="OK"),TODAY(),"")</f>
        <v/>
      </c>
      <c r="AB154">
        <f>IF(F154="","",IFERROR(VLOOKUP(F154,Action_Templates!$A:$Q,13,FALSE),""))</f>
        <v/>
      </c>
      <c r="AC154">
        <f>IF(F154="","",IFERROR(VLOOKUP(F154,Action_Templates!$A:$Q,14,FALSE),""))</f>
        <v/>
      </c>
      <c r="AD154">
        <f>IF(F154="","",IFERROR(VLOOKUP(F154,Action_Templates!$A:$Q,15,FALSE),""))</f>
        <v/>
      </c>
      <c r="AE154">
        <f>IF(O154="","",IF(OR(O154&lt;&gt;"Closed",AND(P154="YES",T154="Accepted")),"OK","BLOCKED"))</f>
        <v/>
      </c>
      <c r="AF154">
        <f>IF(OR(AC154="",R154=""),"",IF(ISNUMBER(SEARCH(AC154,R154)),"OK","CHECK"))</f>
        <v/>
      </c>
    </row>
    <row r="155">
      <c r="A155" t="inlineStr">
        <is>
          <t>ACT-00154</t>
        </is>
      </c>
      <c r="B155">
        <f>'Company_Profile'!B5</f>
        <v/>
      </c>
      <c r="C155">
        <f>'Company_Profile'!B2</f>
        <v/>
      </c>
      <c r="W155">
        <f>IF(AND(O155="Closed",AE155="OK"),TODAY(),"")</f>
        <v/>
      </c>
      <c r="AB155">
        <f>IF(F155="","",IFERROR(VLOOKUP(F155,Action_Templates!$A:$Q,13,FALSE),""))</f>
        <v/>
      </c>
      <c r="AC155">
        <f>IF(F155="","",IFERROR(VLOOKUP(F155,Action_Templates!$A:$Q,14,FALSE),""))</f>
        <v/>
      </c>
      <c r="AD155">
        <f>IF(F155="","",IFERROR(VLOOKUP(F155,Action_Templates!$A:$Q,15,FALSE),""))</f>
        <v/>
      </c>
      <c r="AE155">
        <f>IF(O155="","",IF(OR(O155&lt;&gt;"Closed",AND(P155="YES",T155="Accepted")),"OK","BLOCKED"))</f>
        <v/>
      </c>
      <c r="AF155">
        <f>IF(OR(AC155="",R155=""),"",IF(ISNUMBER(SEARCH(AC155,R155)),"OK","CHECK"))</f>
        <v/>
      </c>
    </row>
    <row r="156">
      <c r="A156" t="inlineStr">
        <is>
          <t>ACT-00155</t>
        </is>
      </c>
      <c r="B156">
        <f>'Company_Profile'!B5</f>
        <v/>
      </c>
      <c r="C156">
        <f>'Company_Profile'!B2</f>
        <v/>
      </c>
      <c r="W156">
        <f>IF(AND(O156="Closed",AE156="OK"),TODAY(),"")</f>
        <v/>
      </c>
      <c r="AB156">
        <f>IF(F156="","",IFERROR(VLOOKUP(F156,Action_Templates!$A:$Q,13,FALSE),""))</f>
        <v/>
      </c>
      <c r="AC156">
        <f>IF(F156="","",IFERROR(VLOOKUP(F156,Action_Templates!$A:$Q,14,FALSE),""))</f>
        <v/>
      </c>
      <c r="AD156">
        <f>IF(F156="","",IFERROR(VLOOKUP(F156,Action_Templates!$A:$Q,15,FALSE),""))</f>
        <v/>
      </c>
      <c r="AE156">
        <f>IF(O156="","",IF(OR(O156&lt;&gt;"Closed",AND(P156="YES",T156="Accepted")),"OK","BLOCKED"))</f>
        <v/>
      </c>
      <c r="AF156">
        <f>IF(OR(AC156="",R156=""),"",IF(ISNUMBER(SEARCH(AC156,R156)),"OK","CHECK"))</f>
        <v/>
      </c>
    </row>
    <row r="157">
      <c r="A157" t="inlineStr">
        <is>
          <t>ACT-00156</t>
        </is>
      </c>
      <c r="B157">
        <f>'Company_Profile'!B5</f>
        <v/>
      </c>
      <c r="C157">
        <f>'Company_Profile'!B2</f>
        <v/>
      </c>
      <c r="W157">
        <f>IF(AND(O157="Closed",AE157="OK"),TODAY(),"")</f>
        <v/>
      </c>
      <c r="AB157">
        <f>IF(F157="","",IFERROR(VLOOKUP(F157,Action_Templates!$A:$Q,13,FALSE),""))</f>
        <v/>
      </c>
      <c r="AC157">
        <f>IF(F157="","",IFERROR(VLOOKUP(F157,Action_Templates!$A:$Q,14,FALSE),""))</f>
        <v/>
      </c>
      <c r="AD157">
        <f>IF(F157="","",IFERROR(VLOOKUP(F157,Action_Templates!$A:$Q,15,FALSE),""))</f>
        <v/>
      </c>
      <c r="AE157">
        <f>IF(O157="","",IF(OR(O157&lt;&gt;"Closed",AND(P157="YES",T157="Accepted")),"OK","BLOCKED"))</f>
        <v/>
      </c>
      <c r="AF157">
        <f>IF(OR(AC157="",R157=""),"",IF(ISNUMBER(SEARCH(AC157,R157)),"OK","CHECK"))</f>
        <v/>
      </c>
    </row>
    <row r="158">
      <c r="A158" t="inlineStr">
        <is>
          <t>ACT-00157</t>
        </is>
      </c>
      <c r="B158">
        <f>'Company_Profile'!B5</f>
        <v/>
      </c>
      <c r="C158">
        <f>'Company_Profile'!B2</f>
        <v/>
      </c>
      <c r="W158">
        <f>IF(AND(O158="Closed",AE158="OK"),TODAY(),"")</f>
        <v/>
      </c>
      <c r="AB158">
        <f>IF(F158="","",IFERROR(VLOOKUP(F158,Action_Templates!$A:$Q,13,FALSE),""))</f>
        <v/>
      </c>
      <c r="AC158">
        <f>IF(F158="","",IFERROR(VLOOKUP(F158,Action_Templates!$A:$Q,14,FALSE),""))</f>
        <v/>
      </c>
      <c r="AD158">
        <f>IF(F158="","",IFERROR(VLOOKUP(F158,Action_Templates!$A:$Q,15,FALSE),""))</f>
        <v/>
      </c>
      <c r="AE158">
        <f>IF(O158="","",IF(OR(O158&lt;&gt;"Closed",AND(P158="YES",T158="Accepted")),"OK","BLOCKED"))</f>
        <v/>
      </c>
      <c r="AF158">
        <f>IF(OR(AC158="",R158=""),"",IF(ISNUMBER(SEARCH(AC158,R158)),"OK","CHECK"))</f>
        <v/>
      </c>
    </row>
    <row r="159">
      <c r="A159" t="inlineStr">
        <is>
          <t>ACT-00158</t>
        </is>
      </c>
      <c r="B159">
        <f>'Company_Profile'!B5</f>
        <v/>
      </c>
      <c r="C159">
        <f>'Company_Profile'!B2</f>
        <v/>
      </c>
      <c r="W159">
        <f>IF(AND(O159="Closed",AE159="OK"),TODAY(),"")</f>
        <v/>
      </c>
      <c r="AB159">
        <f>IF(F159="","",IFERROR(VLOOKUP(F159,Action_Templates!$A:$Q,13,FALSE),""))</f>
        <v/>
      </c>
      <c r="AC159">
        <f>IF(F159="","",IFERROR(VLOOKUP(F159,Action_Templates!$A:$Q,14,FALSE),""))</f>
        <v/>
      </c>
      <c r="AD159">
        <f>IF(F159="","",IFERROR(VLOOKUP(F159,Action_Templates!$A:$Q,15,FALSE),""))</f>
        <v/>
      </c>
      <c r="AE159">
        <f>IF(O159="","",IF(OR(O159&lt;&gt;"Closed",AND(P159="YES",T159="Accepted")),"OK","BLOCKED"))</f>
        <v/>
      </c>
      <c r="AF159">
        <f>IF(OR(AC159="",R159=""),"",IF(ISNUMBER(SEARCH(AC159,R159)),"OK","CHECK"))</f>
        <v/>
      </c>
    </row>
    <row r="160">
      <c r="A160" t="inlineStr">
        <is>
          <t>ACT-00159</t>
        </is>
      </c>
      <c r="B160">
        <f>'Company_Profile'!B5</f>
        <v/>
      </c>
      <c r="C160">
        <f>'Company_Profile'!B2</f>
        <v/>
      </c>
      <c r="W160">
        <f>IF(AND(O160="Closed",AE160="OK"),TODAY(),"")</f>
        <v/>
      </c>
      <c r="AB160">
        <f>IF(F160="","",IFERROR(VLOOKUP(F160,Action_Templates!$A:$Q,13,FALSE),""))</f>
        <v/>
      </c>
      <c r="AC160">
        <f>IF(F160="","",IFERROR(VLOOKUP(F160,Action_Templates!$A:$Q,14,FALSE),""))</f>
        <v/>
      </c>
      <c r="AD160">
        <f>IF(F160="","",IFERROR(VLOOKUP(F160,Action_Templates!$A:$Q,15,FALSE),""))</f>
        <v/>
      </c>
      <c r="AE160">
        <f>IF(O160="","",IF(OR(O160&lt;&gt;"Closed",AND(P160="YES",T160="Accepted")),"OK","BLOCKED"))</f>
        <v/>
      </c>
      <c r="AF160">
        <f>IF(OR(AC160="",R160=""),"",IF(ISNUMBER(SEARCH(AC160,R160)),"OK","CHECK"))</f>
        <v/>
      </c>
    </row>
    <row r="161">
      <c r="A161" t="inlineStr">
        <is>
          <t>ACT-00160</t>
        </is>
      </c>
      <c r="B161">
        <f>'Company_Profile'!B5</f>
        <v/>
      </c>
      <c r="C161">
        <f>'Company_Profile'!B2</f>
        <v/>
      </c>
      <c r="W161">
        <f>IF(AND(O161="Closed",AE161="OK"),TODAY(),"")</f>
        <v/>
      </c>
      <c r="AB161">
        <f>IF(F161="","",IFERROR(VLOOKUP(F161,Action_Templates!$A:$Q,13,FALSE),""))</f>
        <v/>
      </c>
      <c r="AC161">
        <f>IF(F161="","",IFERROR(VLOOKUP(F161,Action_Templates!$A:$Q,14,FALSE),""))</f>
        <v/>
      </c>
      <c r="AD161">
        <f>IF(F161="","",IFERROR(VLOOKUP(F161,Action_Templates!$A:$Q,15,FALSE),""))</f>
        <v/>
      </c>
      <c r="AE161">
        <f>IF(O161="","",IF(OR(O161&lt;&gt;"Closed",AND(P161="YES",T161="Accepted")),"OK","BLOCKED"))</f>
        <v/>
      </c>
      <c r="AF161">
        <f>IF(OR(AC161="",R161=""),"",IF(ISNUMBER(SEARCH(AC161,R161)),"OK","CHECK"))</f>
        <v/>
      </c>
    </row>
    <row r="162">
      <c r="A162" t="inlineStr">
        <is>
          <t>ACT-00161</t>
        </is>
      </c>
      <c r="B162">
        <f>'Company_Profile'!B5</f>
        <v/>
      </c>
      <c r="C162">
        <f>'Company_Profile'!B2</f>
        <v/>
      </c>
      <c r="W162">
        <f>IF(AND(O162="Closed",AE162="OK"),TODAY(),"")</f>
        <v/>
      </c>
      <c r="AB162">
        <f>IF(F162="","",IFERROR(VLOOKUP(F162,Action_Templates!$A:$Q,13,FALSE),""))</f>
        <v/>
      </c>
      <c r="AC162">
        <f>IF(F162="","",IFERROR(VLOOKUP(F162,Action_Templates!$A:$Q,14,FALSE),""))</f>
        <v/>
      </c>
      <c r="AD162">
        <f>IF(F162="","",IFERROR(VLOOKUP(F162,Action_Templates!$A:$Q,15,FALSE),""))</f>
        <v/>
      </c>
      <c r="AE162">
        <f>IF(O162="","",IF(OR(O162&lt;&gt;"Closed",AND(P162="YES",T162="Accepted")),"OK","BLOCKED"))</f>
        <v/>
      </c>
      <c r="AF162">
        <f>IF(OR(AC162="",R162=""),"",IF(ISNUMBER(SEARCH(AC162,R162)),"OK","CHECK"))</f>
        <v/>
      </c>
    </row>
    <row r="163">
      <c r="A163" t="inlineStr">
        <is>
          <t>ACT-00162</t>
        </is>
      </c>
      <c r="B163">
        <f>'Company_Profile'!B5</f>
        <v/>
      </c>
      <c r="C163">
        <f>'Company_Profile'!B2</f>
        <v/>
      </c>
      <c r="W163">
        <f>IF(AND(O163="Closed",AE163="OK"),TODAY(),"")</f>
        <v/>
      </c>
      <c r="AB163">
        <f>IF(F163="","",IFERROR(VLOOKUP(F163,Action_Templates!$A:$Q,13,FALSE),""))</f>
        <v/>
      </c>
      <c r="AC163">
        <f>IF(F163="","",IFERROR(VLOOKUP(F163,Action_Templates!$A:$Q,14,FALSE),""))</f>
        <v/>
      </c>
      <c r="AD163">
        <f>IF(F163="","",IFERROR(VLOOKUP(F163,Action_Templates!$A:$Q,15,FALSE),""))</f>
        <v/>
      </c>
      <c r="AE163">
        <f>IF(O163="","",IF(OR(O163&lt;&gt;"Closed",AND(P163="YES",T163="Accepted")),"OK","BLOCKED"))</f>
        <v/>
      </c>
      <c r="AF163">
        <f>IF(OR(AC163="",R163=""),"",IF(ISNUMBER(SEARCH(AC163,R163)),"OK","CHECK"))</f>
        <v/>
      </c>
    </row>
    <row r="164">
      <c r="A164" t="inlineStr">
        <is>
          <t>ACT-00163</t>
        </is>
      </c>
      <c r="B164">
        <f>'Company_Profile'!B5</f>
        <v/>
      </c>
      <c r="C164">
        <f>'Company_Profile'!B2</f>
        <v/>
      </c>
      <c r="W164">
        <f>IF(AND(O164="Closed",AE164="OK"),TODAY(),"")</f>
        <v/>
      </c>
      <c r="AB164">
        <f>IF(F164="","",IFERROR(VLOOKUP(F164,Action_Templates!$A:$Q,13,FALSE),""))</f>
        <v/>
      </c>
      <c r="AC164">
        <f>IF(F164="","",IFERROR(VLOOKUP(F164,Action_Templates!$A:$Q,14,FALSE),""))</f>
        <v/>
      </c>
      <c r="AD164">
        <f>IF(F164="","",IFERROR(VLOOKUP(F164,Action_Templates!$A:$Q,15,FALSE),""))</f>
        <v/>
      </c>
      <c r="AE164">
        <f>IF(O164="","",IF(OR(O164&lt;&gt;"Closed",AND(P164="YES",T164="Accepted")),"OK","BLOCKED"))</f>
        <v/>
      </c>
      <c r="AF164">
        <f>IF(OR(AC164="",R164=""),"",IF(ISNUMBER(SEARCH(AC164,R164)),"OK","CHECK"))</f>
        <v/>
      </c>
    </row>
    <row r="165">
      <c r="A165" t="inlineStr">
        <is>
          <t>ACT-00164</t>
        </is>
      </c>
      <c r="B165">
        <f>'Company_Profile'!B5</f>
        <v/>
      </c>
      <c r="C165">
        <f>'Company_Profile'!B2</f>
        <v/>
      </c>
      <c r="W165">
        <f>IF(AND(O165="Closed",AE165="OK"),TODAY(),"")</f>
        <v/>
      </c>
      <c r="AB165">
        <f>IF(F165="","",IFERROR(VLOOKUP(F165,Action_Templates!$A:$Q,13,FALSE),""))</f>
        <v/>
      </c>
      <c r="AC165">
        <f>IF(F165="","",IFERROR(VLOOKUP(F165,Action_Templates!$A:$Q,14,FALSE),""))</f>
        <v/>
      </c>
      <c r="AD165">
        <f>IF(F165="","",IFERROR(VLOOKUP(F165,Action_Templates!$A:$Q,15,FALSE),""))</f>
        <v/>
      </c>
      <c r="AE165">
        <f>IF(O165="","",IF(OR(O165&lt;&gt;"Closed",AND(P165="YES",T165="Accepted")),"OK","BLOCKED"))</f>
        <v/>
      </c>
      <c r="AF165">
        <f>IF(OR(AC165="",R165=""),"",IF(ISNUMBER(SEARCH(AC165,R165)),"OK","CHECK"))</f>
        <v/>
      </c>
    </row>
    <row r="166">
      <c r="A166" t="inlineStr">
        <is>
          <t>ACT-00165</t>
        </is>
      </c>
      <c r="B166">
        <f>'Company_Profile'!B5</f>
        <v/>
      </c>
      <c r="C166">
        <f>'Company_Profile'!B2</f>
        <v/>
      </c>
      <c r="W166">
        <f>IF(AND(O166="Closed",AE166="OK"),TODAY(),"")</f>
        <v/>
      </c>
      <c r="AB166">
        <f>IF(F166="","",IFERROR(VLOOKUP(F166,Action_Templates!$A:$Q,13,FALSE),""))</f>
        <v/>
      </c>
      <c r="AC166">
        <f>IF(F166="","",IFERROR(VLOOKUP(F166,Action_Templates!$A:$Q,14,FALSE),""))</f>
        <v/>
      </c>
      <c r="AD166">
        <f>IF(F166="","",IFERROR(VLOOKUP(F166,Action_Templates!$A:$Q,15,FALSE),""))</f>
        <v/>
      </c>
      <c r="AE166">
        <f>IF(O166="","",IF(OR(O166&lt;&gt;"Closed",AND(P166="YES",T166="Accepted")),"OK","BLOCKED"))</f>
        <v/>
      </c>
      <c r="AF166">
        <f>IF(OR(AC166="",R166=""),"",IF(ISNUMBER(SEARCH(AC166,R166)),"OK","CHECK"))</f>
        <v/>
      </c>
    </row>
    <row r="167">
      <c r="A167" t="inlineStr">
        <is>
          <t>ACT-00166</t>
        </is>
      </c>
      <c r="B167">
        <f>'Company_Profile'!B5</f>
        <v/>
      </c>
      <c r="C167">
        <f>'Company_Profile'!B2</f>
        <v/>
      </c>
      <c r="W167">
        <f>IF(AND(O167="Closed",AE167="OK"),TODAY(),"")</f>
        <v/>
      </c>
      <c r="AB167">
        <f>IF(F167="","",IFERROR(VLOOKUP(F167,Action_Templates!$A:$Q,13,FALSE),""))</f>
        <v/>
      </c>
      <c r="AC167">
        <f>IF(F167="","",IFERROR(VLOOKUP(F167,Action_Templates!$A:$Q,14,FALSE),""))</f>
        <v/>
      </c>
      <c r="AD167">
        <f>IF(F167="","",IFERROR(VLOOKUP(F167,Action_Templates!$A:$Q,15,FALSE),""))</f>
        <v/>
      </c>
      <c r="AE167">
        <f>IF(O167="","",IF(OR(O167&lt;&gt;"Closed",AND(P167="YES",T167="Accepted")),"OK","BLOCKED"))</f>
        <v/>
      </c>
      <c r="AF167">
        <f>IF(OR(AC167="",R167=""),"",IF(ISNUMBER(SEARCH(AC167,R167)),"OK","CHECK"))</f>
        <v/>
      </c>
    </row>
    <row r="168">
      <c r="A168" t="inlineStr">
        <is>
          <t>ACT-00167</t>
        </is>
      </c>
      <c r="B168">
        <f>'Company_Profile'!B5</f>
        <v/>
      </c>
      <c r="C168">
        <f>'Company_Profile'!B2</f>
        <v/>
      </c>
      <c r="W168">
        <f>IF(AND(O168="Closed",AE168="OK"),TODAY(),"")</f>
        <v/>
      </c>
      <c r="AB168">
        <f>IF(F168="","",IFERROR(VLOOKUP(F168,Action_Templates!$A:$Q,13,FALSE),""))</f>
        <v/>
      </c>
      <c r="AC168">
        <f>IF(F168="","",IFERROR(VLOOKUP(F168,Action_Templates!$A:$Q,14,FALSE),""))</f>
        <v/>
      </c>
      <c r="AD168">
        <f>IF(F168="","",IFERROR(VLOOKUP(F168,Action_Templates!$A:$Q,15,FALSE),""))</f>
        <v/>
      </c>
      <c r="AE168">
        <f>IF(O168="","",IF(OR(O168&lt;&gt;"Closed",AND(P168="YES",T168="Accepted")),"OK","BLOCKED"))</f>
        <v/>
      </c>
      <c r="AF168">
        <f>IF(OR(AC168="",R168=""),"",IF(ISNUMBER(SEARCH(AC168,R168)),"OK","CHECK"))</f>
        <v/>
      </c>
    </row>
    <row r="169">
      <c r="A169" t="inlineStr">
        <is>
          <t>ACT-00168</t>
        </is>
      </c>
      <c r="B169">
        <f>'Company_Profile'!B5</f>
        <v/>
      </c>
      <c r="C169">
        <f>'Company_Profile'!B2</f>
        <v/>
      </c>
      <c r="W169">
        <f>IF(AND(O169="Closed",AE169="OK"),TODAY(),"")</f>
        <v/>
      </c>
      <c r="AB169">
        <f>IF(F169="","",IFERROR(VLOOKUP(F169,Action_Templates!$A:$Q,13,FALSE),""))</f>
        <v/>
      </c>
      <c r="AC169">
        <f>IF(F169="","",IFERROR(VLOOKUP(F169,Action_Templates!$A:$Q,14,FALSE),""))</f>
        <v/>
      </c>
      <c r="AD169">
        <f>IF(F169="","",IFERROR(VLOOKUP(F169,Action_Templates!$A:$Q,15,FALSE),""))</f>
        <v/>
      </c>
      <c r="AE169">
        <f>IF(O169="","",IF(OR(O169&lt;&gt;"Closed",AND(P169="YES",T169="Accepted")),"OK","BLOCKED"))</f>
        <v/>
      </c>
      <c r="AF169">
        <f>IF(OR(AC169="",R169=""),"",IF(ISNUMBER(SEARCH(AC169,R169)),"OK","CHECK"))</f>
        <v/>
      </c>
    </row>
    <row r="170">
      <c r="A170" t="inlineStr">
        <is>
          <t>ACT-00169</t>
        </is>
      </c>
      <c r="B170">
        <f>'Company_Profile'!B5</f>
        <v/>
      </c>
      <c r="C170">
        <f>'Company_Profile'!B2</f>
        <v/>
      </c>
      <c r="W170">
        <f>IF(AND(O170="Closed",AE170="OK"),TODAY(),"")</f>
        <v/>
      </c>
      <c r="AB170">
        <f>IF(F170="","",IFERROR(VLOOKUP(F170,Action_Templates!$A:$Q,13,FALSE),""))</f>
        <v/>
      </c>
      <c r="AC170">
        <f>IF(F170="","",IFERROR(VLOOKUP(F170,Action_Templates!$A:$Q,14,FALSE),""))</f>
        <v/>
      </c>
      <c r="AD170">
        <f>IF(F170="","",IFERROR(VLOOKUP(F170,Action_Templates!$A:$Q,15,FALSE),""))</f>
        <v/>
      </c>
      <c r="AE170">
        <f>IF(O170="","",IF(OR(O170&lt;&gt;"Closed",AND(P170="YES",T170="Accepted")),"OK","BLOCKED"))</f>
        <v/>
      </c>
      <c r="AF170">
        <f>IF(OR(AC170="",R170=""),"",IF(ISNUMBER(SEARCH(AC170,R170)),"OK","CHECK"))</f>
        <v/>
      </c>
    </row>
    <row r="171">
      <c r="A171" t="inlineStr">
        <is>
          <t>ACT-00170</t>
        </is>
      </c>
      <c r="B171">
        <f>'Company_Profile'!B5</f>
        <v/>
      </c>
      <c r="C171">
        <f>'Company_Profile'!B2</f>
        <v/>
      </c>
      <c r="W171">
        <f>IF(AND(O171="Closed",AE171="OK"),TODAY(),"")</f>
        <v/>
      </c>
      <c r="AB171">
        <f>IF(F171="","",IFERROR(VLOOKUP(F171,Action_Templates!$A:$Q,13,FALSE),""))</f>
        <v/>
      </c>
      <c r="AC171">
        <f>IF(F171="","",IFERROR(VLOOKUP(F171,Action_Templates!$A:$Q,14,FALSE),""))</f>
        <v/>
      </c>
      <c r="AD171">
        <f>IF(F171="","",IFERROR(VLOOKUP(F171,Action_Templates!$A:$Q,15,FALSE),""))</f>
        <v/>
      </c>
      <c r="AE171">
        <f>IF(O171="","",IF(OR(O171&lt;&gt;"Closed",AND(P171="YES",T171="Accepted")),"OK","BLOCKED"))</f>
        <v/>
      </c>
      <c r="AF171">
        <f>IF(OR(AC171="",R171=""),"",IF(ISNUMBER(SEARCH(AC171,R171)),"OK","CHECK"))</f>
        <v/>
      </c>
    </row>
    <row r="172">
      <c r="A172" t="inlineStr">
        <is>
          <t>ACT-00171</t>
        </is>
      </c>
      <c r="B172">
        <f>'Company_Profile'!B5</f>
        <v/>
      </c>
      <c r="C172">
        <f>'Company_Profile'!B2</f>
        <v/>
      </c>
      <c r="W172">
        <f>IF(AND(O172="Closed",AE172="OK"),TODAY(),"")</f>
        <v/>
      </c>
      <c r="AB172">
        <f>IF(F172="","",IFERROR(VLOOKUP(F172,Action_Templates!$A:$Q,13,FALSE),""))</f>
        <v/>
      </c>
      <c r="AC172">
        <f>IF(F172="","",IFERROR(VLOOKUP(F172,Action_Templates!$A:$Q,14,FALSE),""))</f>
        <v/>
      </c>
      <c r="AD172">
        <f>IF(F172="","",IFERROR(VLOOKUP(F172,Action_Templates!$A:$Q,15,FALSE),""))</f>
        <v/>
      </c>
      <c r="AE172">
        <f>IF(O172="","",IF(OR(O172&lt;&gt;"Closed",AND(P172="YES",T172="Accepted")),"OK","BLOCKED"))</f>
        <v/>
      </c>
      <c r="AF172">
        <f>IF(OR(AC172="",R172=""),"",IF(ISNUMBER(SEARCH(AC172,R172)),"OK","CHECK"))</f>
        <v/>
      </c>
    </row>
    <row r="173">
      <c r="A173" t="inlineStr">
        <is>
          <t>ACT-00172</t>
        </is>
      </c>
      <c r="B173">
        <f>'Company_Profile'!B5</f>
        <v/>
      </c>
      <c r="C173">
        <f>'Company_Profile'!B2</f>
        <v/>
      </c>
      <c r="W173">
        <f>IF(AND(O173="Closed",AE173="OK"),TODAY(),"")</f>
        <v/>
      </c>
      <c r="AB173">
        <f>IF(F173="","",IFERROR(VLOOKUP(F173,Action_Templates!$A:$Q,13,FALSE),""))</f>
        <v/>
      </c>
      <c r="AC173">
        <f>IF(F173="","",IFERROR(VLOOKUP(F173,Action_Templates!$A:$Q,14,FALSE),""))</f>
        <v/>
      </c>
      <c r="AD173">
        <f>IF(F173="","",IFERROR(VLOOKUP(F173,Action_Templates!$A:$Q,15,FALSE),""))</f>
        <v/>
      </c>
      <c r="AE173">
        <f>IF(O173="","",IF(OR(O173&lt;&gt;"Closed",AND(P173="YES",T173="Accepted")),"OK","BLOCKED"))</f>
        <v/>
      </c>
      <c r="AF173">
        <f>IF(OR(AC173="",R173=""),"",IF(ISNUMBER(SEARCH(AC173,R173)),"OK","CHECK"))</f>
        <v/>
      </c>
    </row>
    <row r="174">
      <c r="A174" t="inlineStr">
        <is>
          <t>ACT-00173</t>
        </is>
      </c>
      <c r="B174">
        <f>'Company_Profile'!B5</f>
        <v/>
      </c>
      <c r="C174">
        <f>'Company_Profile'!B2</f>
        <v/>
      </c>
      <c r="W174">
        <f>IF(AND(O174="Closed",AE174="OK"),TODAY(),"")</f>
        <v/>
      </c>
      <c r="AB174">
        <f>IF(F174="","",IFERROR(VLOOKUP(F174,Action_Templates!$A:$Q,13,FALSE),""))</f>
        <v/>
      </c>
      <c r="AC174">
        <f>IF(F174="","",IFERROR(VLOOKUP(F174,Action_Templates!$A:$Q,14,FALSE),""))</f>
        <v/>
      </c>
      <c r="AD174">
        <f>IF(F174="","",IFERROR(VLOOKUP(F174,Action_Templates!$A:$Q,15,FALSE),""))</f>
        <v/>
      </c>
      <c r="AE174">
        <f>IF(O174="","",IF(OR(O174&lt;&gt;"Closed",AND(P174="YES",T174="Accepted")),"OK","BLOCKED"))</f>
        <v/>
      </c>
      <c r="AF174">
        <f>IF(OR(AC174="",R174=""),"",IF(ISNUMBER(SEARCH(AC174,R174)),"OK","CHECK"))</f>
        <v/>
      </c>
    </row>
    <row r="175">
      <c r="A175" t="inlineStr">
        <is>
          <t>ACT-00174</t>
        </is>
      </c>
      <c r="B175">
        <f>'Company_Profile'!B5</f>
        <v/>
      </c>
      <c r="C175">
        <f>'Company_Profile'!B2</f>
        <v/>
      </c>
      <c r="W175">
        <f>IF(AND(O175="Closed",AE175="OK"),TODAY(),"")</f>
        <v/>
      </c>
      <c r="AB175">
        <f>IF(F175="","",IFERROR(VLOOKUP(F175,Action_Templates!$A:$Q,13,FALSE),""))</f>
        <v/>
      </c>
      <c r="AC175">
        <f>IF(F175="","",IFERROR(VLOOKUP(F175,Action_Templates!$A:$Q,14,FALSE),""))</f>
        <v/>
      </c>
      <c r="AD175">
        <f>IF(F175="","",IFERROR(VLOOKUP(F175,Action_Templates!$A:$Q,15,FALSE),""))</f>
        <v/>
      </c>
      <c r="AE175">
        <f>IF(O175="","",IF(OR(O175&lt;&gt;"Closed",AND(P175="YES",T175="Accepted")),"OK","BLOCKED"))</f>
        <v/>
      </c>
      <c r="AF175">
        <f>IF(OR(AC175="",R175=""),"",IF(ISNUMBER(SEARCH(AC175,R175)),"OK","CHECK"))</f>
        <v/>
      </c>
    </row>
    <row r="176">
      <c r="A176" t="inlineStr">
        <is>
          <t>ACT-00175</t>
        </is>
      </c>
      <c r="B176">
        <f>'Company_Profile'!B5</f>
        <v/>
      </c>
      <c r="C176">
        <f>'Company_Profile'!B2</f>
        <v/>
      </c>
      <c r="W176">
        <f>IF(AND(O176="Closed",AE176="OK"),TODAY(),"")</f>
        <v/>
      </c>
      <c r="AB176">
        <f>IF(F176="","",IFERROR(VLOOKUP(F176,Action_Templates!$A:$Q,13,FALSE),""))</f>
        <v/>
      </c>
      <c r="AC176">
        <f>IF(F176="","",IFERROR(VLOOKUP(F176,Action_Templates!$A:$Q,14,FALSE),""))</f>
        <v/>
      </c>
      <c r="AD176">
        <f>IF(F176="","",IFERROR(VLOOKUP(F176,Action_Templates!$A:$Q,15,FALSE),""))</f>
        <v/>
      </c>
      <c r="AE176">
        <f>IF(O176="","",IF(OR(O176&lt;&gt;"Closed",AND(P176="YES",T176="Accepted")),"OK","BLOCKED"))</f>
        <v/>
      </c>
      <c r="AF176">
        <f>IF(OR(AC176="",R176=""),"",IF(ISNUMBER(SEARCH(AC176,R176)),"OK","CHECK"))</f>
        <v/>
      </c>
    </row>
    <row r="177">
      <c r="A177" t="inlineStr">
        <is>
          <t>ACT-00176</t>
        </is>
      </c>
      <c r="B177">
        <f>'Company_Profile'!B5</f>
        <v/>
      </c>
      <c r="C177">
        <f>'Company_Profile'!B2</f>
        <v/>
      </c>
      <c r="W177">
        <f>IF(AND(O177="Closed",AE177="OK"),TODAY(),"")</f>
        <v/>
      </c>
      <c r="AB177">
        <f>IF(F177="","",IFERROR(VLOOKUP(F177,Action_Templates!$A:$Q,13,FALSE),""))</f>
        <v/>
      </c>
      <c r="AC177">
        <f>IF(F177="","",IFERROR(VLOOKUP(F177,Action_Templates!$A:$Q,14,FALSE),""))</f>
        <v/>
      </c>
      <c r="AD177">
        <f>IF(F177="","",IFERROR(VLOOKUP(F177,Action_Templates!$A:$Q,15,FALSE),""))</f>
        <v/>
      </c>
      <c r="AE177">
        <f>IF(O177="","",IF(OR(O177&lt;&gt;"Closed",AND(P177="YES",T177="Accepted")),"OK","BLOCKED"))</f>
        <v/>
      </c>
      <c r="AF177">
        <f>IF(OR(AC177="",R177=""),"",IF(ISNUMBER(SEARCH(AC177,R177)),"OK","CHECK"))</f>
        <v/>
      </c>
    </row>
    <row r="178">
      <c r="A178" t="inlineStr">
        <is>
          <t>ACT-00177</t>
        </is>
      </c>
      <c r="B178">
        <f>'Company_Profile'!B5</f>
        <v/>
      </c>
      <c r="C178">
        <f>'Company_Profile'!B2</f>
        <v/>
      </c>
      <c r="W178">
        <f>IF(AND(O178="Closed",AE178="OK"),TODAY(),"")</f>
        <v/>
      </c>
      <c r="AB178">
        <f>IF(F178="","",IFERROR(VLOOKUP(F178,Action_Templates!$A:$Q,13,FALSE),""))</f>
        <v/>
      </c>
      <c r="AC178">
        <f>IF(F178="","",IFERROR(VLOOKUP(F178,Action_Templates!$A:$Q,14,FALSE),""))</f>
        <v/>
      </c>
      <c r="AD178">
        <f>IF(F178="","",IFERROR(VLOOKUP(F178,Action_Templates!$A:$Q,15,FALSE),""))</f>
        <v/>
      </c>
      <c r="AE178">
        <f>IF(O178="","",IF(OR(O178&lt;&gt;"Closed",AND(P178="YES",T178="Accepted")),"OK","BLOCKED"))</f>
        <v/>
      </c>
      <c r="AF178">
        <f>IF(OR(AC178="",R178=""),"",IF(ISNUMBER(SEARCH(AC178,R178)),"OK","CHECK"))</f>
        <v/>
      </c>
    </row>
    <row r="179">
      <c r="A179" t="inlineStr">
        <is>
          <t>ACT-00178</t>
        </is>
      </c>
      <c r="B179">
        <f>'Company_Profile'!B5</f>
        <v/>
      </c>
      <c r="C179">
        <f>'Company_Profile'!B2</f>
        <v/>
      </c>
      <c r="W179">
        <f>IF(AND(O179="Closed",AE179="OK"),TODAY(),"")</f>
        <v/>
      </c>
      <c r="AB179">
        <f>IF(F179="","",IFERROR(VLOOKUP(F179,Action_Templates!$A:$Q,13,FALSE),""))</f>
        <v/>
      </c>
      <c r="AC179">
        <f>IF(F179="","",IFERROR(VLOOKUP(F179,Action_Templates!$A:$Q,14,FALSE),""))</f>
        <v/>
      </c>
      <c r="AD179">
        <f>IF(F179="","",IFERROR(VLOOKUP(F179,Action_Templates!$A:$Q,15,FALSE),""))</f>
        <v/>
      </c>
      <c r="AE179">
        <f>IF(O179="","",IF(OR(O179&lt;&gt;"Closed",AND(P179="YES",T179="Accepted")),"OK","BLOCKED"))</f>
        <v/>
      </c>
      <c r="AF179">
        <f>IF(OR(AC179="",R179=""),"",IF(ISNUMBER(SEARCH(AC179,R179)),"OK","CHECK"))</f>
        <v/>
      </c>
    </row>
    <row r="180">
      <c r="A180" t="inlineStr">
        <is>
          <t>ACT-00179</t>
        </is>
      </c>
      <c r="B180">
        <f>'Company_Profile'!B5</f>
        <v/>
      </c>
      <c r="C180">
        <f>'Company_Profile'!B2</f>
        <v/>
      </c>
      <c r="W180">
        <f>IF(AND(O180="Closed",AE180="OK"),TODAY(),"")</f>
        <v/>
      </c>
      <c r="AB180">
        <f>IF(F180="","",IFERROR(VLOOKUP(F180,Action_Templates!$A:$Q,13,FALSE),""))</f>
        <v/>
      </c>
      <c r="AC180">
        <f>IF(F180="","",IFERROR(VLOOKUP(F180,Action_Templates!$A:$Q,14,FALSE),""))</f>
        <v/>
      </c>
      <c r="AD180">
        <f>IF(F180="","",IFERROR(VLOOKUP(F180,Action_Templates!$A:$Q,15,FALSE),""))</f>
        <v/>
      </c>
      <c r="AE180">
        <f>IF(O180="","",IF(OR(O180&lt;&gt;"Closed",AND(P180="YES",T180="Accepted")),"OK","BLOCKED"))</f>
        <v/>
      </c>
      <c r="AF180">
        <f>IF(OR(AC180="",R180=""),"",IF(ISNUMBER(SEARCH(AC180,R180)),"OK","CHECK"))</f>
        <v/>
      </c>
    </row>
    <row r="181">
      <c r="A181" t="inlineStr">
        <is>
          <t>ACT-00180</t>
        </is>
      </c>
      <c r="B181">
        <f>'Company_Profile'!B5</f>
        <v/>
      </c>
      <c r="C181">
        <f>'Company_Profile'!B2</f>
        <v/>
      </c>
      <c r="W181">
        <f>IF(AND(O181="Closed",AE181="OK"),TODAY(),"")</f>
        <v/>
      </c>
      <c r="AB181">
        <f>IF(F181="","",IFERROR(VLOOKUP(F181,Action_Templates!$A:$Q,13,FALSE),""))</f>
        <v/>
      </c>
      <c r="AC181">
        <f>IF(F181="","",IFERROR(VLOOKUP(F181,Action_Templates!$A:$Q,14,FALSE),""))</f>
        <v/>
      </c>
      <c r="AD181">
        <f>IF(F181="","",IFERROR(VLOOKUP(F181,Action_Templates!$A:$Q,15,FALSE),""))</f>
        <v/>
      </c>
      <c r="AE181">
        <f>IF(O181="","",IF(OR(O181&lt;&gt;"Closed",AND(P181="YES",T181="Accepted")),"OK","BLOCKED"))</f>
        <v/>
      </c>
      <c r="AF181">
        <f>IF(OR(AC181="",R181=""),"",IF(ISNUMBER(SEARCH(AC181,R181)),"OK","CHECK"))</f>
        <v/>
      </c>
    </row>
    <row r="182">
      <c r="A182" t="inlineStr">
        <is>
          <t>ACT-00181</t>
        </is>
      </c>
      <c r="B182">
        <f>'Company_Profile'!B5</f>
        <v/>
      </c>
      <c r="C182">
        <f>'Company_Profile'!B2</f>
        <v/>
      </c>
      <c r="W182">
        <f>IF(AND(O182="Closed",AE182="OK"),TODAY(),"")</f>
        <v/>
      </c>
      <c r="AB182">
        <f>IF(F182="","",IFERROR(VLOOKUP(F182,Action_Templates!$A:$Q,13,FALSE),""))</f>
        <v/>
      </c>
      <c r="AC182">
        <f>IF(F182="","",IFERROR(VLOOKUP(F182,Action_Templates!$A:$Q,14,FALSE),""))</f>
        <v/>
      </c>
      <c r="AD182">
        <f>IF(F182="","",IFERROR(VLOOKUP(F182,Action_Templates!$A:$Q,15,FALSE),""))</f>
        <v/>
      </c>
      <c r="AE182">
        <f>IF(O182="","",IF(OR(O182&lt;&gt;"Closed",AND(P182="YES",T182="Accepted")),"OK","BLOCKED"))</f>
        <v/>
      </c>
      <c r="AF182">
        <f>IF(OR(AC182="",R182=""),"",IF(ISNUMBER(SEARCH(AC182,R182)),"OK","CHECK"))</f>
        <v/>
      </c>
    </row>
    <row r="183">
      <c r="A183" t="inlineStr">
        <is>
          <t>ACT-00182</t>
        </is>
      </c>
      <c r="B183">
        <f>'Company_Profile'!B5</f>
        <v/>
      </c>
      <c r="C183">
        <f>'Company_Profile'!B2</f>
        <v/>
      </c>
      <c r="W183">
        <f>IF(AND(O183="Closed",AE183="OK"),TODAY(),"")</f>
        <v/>
      </c>
      <c r="AB183">
        <f>IF(F183="","",IFERROR(VLOOKUP(F183,Action_Templates!$A:$Q,13,FALSE),""))</f>
        <v/>
      </c>
      <c r="AC183">
        <f>IF(F183="","",IFERROR(VLOOKUP(F183,Action_Templates!$A:$Q,14,FALSE),""))</f>
        <v/>
      </c>
      <c r="AD183">
        <f>IF(F183="","",IFERROR(VLOOKUP(F183,Action_Templates!$A:$Q,15,FALSE),""))</f>
        <v/>
      </c>
      <c r="AE183">
        <f>IF(O183="","",IF(OR(O183&lt;&gt;"Closed",AND(P183="YES",T183="Accepted")),"OK","BLOCKED"))</f>
        <v/>
      </c>
      <c r="AF183">
        <f>IF(OR(AC183="",R183=""),"",IF(ISNUMBER(SEARCH(AC183,R183)),"OK","CHECK"))</f>
        <v/>
      </c>
    </row>
    <row r="184">
      <c r="A184" t="inlineStr">
        <is>
          <t>ACT-00183</t>
        </is>
      </c>
      <c r="B184">
        <f>'Company_Profile'!B5</f>
        <v/>
      </c>
      <c r="C184">
        <f>'Company_Profile'!B2</f>
        <v/>
      </c>
      <c r="W184">
        <f>IF(AND(O184="Closed",AE184="OK"),TODAY(),"")</f>
        <v/>
      </c>
      <c r="AB184">
        <f>IF(F184="","",IFERROR(VLOOKUP(F184,Action_Templates!$A:$Q,13,FALSE),""))</f>
        <v/>
      </c>
      <c r="AC184">
        <f>IF(F184="","",IFERROR(VLOOKUP(F184,Action_Templates!$A:$Q,14,FALSE),""))</f>
        <v/>
      </c>
      <c r="AD184">
        <f>IF(F184="","",IFERROR(VLOOKUP(F184,Action_Templates!$A:$Q,15,FALSE),""))</f>
        <v/>
      </c>
      <c r="AE184">
        <f>IF(O184="","",IF(OR(O184&lt;&gt;"Closed",AND(P184="YES",T184="Accepted")),"OK","BLOCKED"))</f>
        <v/>
      </c>
      <c r="AF184">
        <f>IF(OR(AC184="",R184=""),"",IF(ISNUMBER(SEARCH(AC184,R184)),"OK","CHECK"))</f>
        <v/>
      </c>
    </row>
    <row r="185">
      <c r="A185" t="inlineStr">
        <is>
          <t>ACT-00184</t>
        </is>
      </c>
      <c r="B185">
        <f>'Company_Profile'!B5</f>
        <v/>
      </c>
      <c r="C185">
        <f>'Company_Profile'!B2</f>
        <v/>
      </c>
      <c r="W185">
        <f>IF(AND(O185="Closed",AE185="OK"),TODAY(),"")</f>
        <v/>
      </c>
      <c r="AB185">
        <f>IF(F185="","",IFERROR(VLOOKUP(F185,Action_Templates!$A:$Q,13,FALSE),""))</f>
        <v/>
      </c>
      <c r="AC185">
        <f>IF(F185="","",IFERROR(VLOOKUP(F185,Action_Templates!$A:$Q,14,FALSE),""))</f>
        <v/>
      </c>
      <c r="AD185">
        <f>IF(F185="","",IFERROR(VLOOKUP(F185,Action_Templates!$A:$Q,15,FALSE),""))</f>
        <v/>
      </c>
      <c r="AE185">
        <f>IF(O185="","",IF(OR(O185&lt;&gt;"Closed",AND(P185="YES",T185="Accepted")),"OK","BLOCKED"))</f>
        <v/>
      </c>
      <c r="AF185">
        <f>IF(OR(AC185="",R185=""),"",IF(ISNUMBER(SEARCH(AC185,R185)),"OK","CHECK"))</f>
        <v/>
      </c>
    </row>
    <row r="186">
      <c r="A186" t="inlineStr">
        <is>
          <t>ACT-00185</t>
        </is>
      </c>
      <c r="B186">
        <f>'Company_Profile'!B5</f>
        <v/>
      </c>
      <c r="C186">
        <f>'Company_Profile'!B2</f>
        <v/>
      </c>
      <c r="W186">
        <f>IF(AND(O186="Closed",AE186="OK"),TODAY(),"")</f>
        <v/>
      </c>
      <c r="AB186">
        <f>IF(F186="","",IFERROR(VLOOKUP(F186,Action_Templates!$A:$Q,13,FALSE),""))</f>
        <v/>
      </c>
      <c r="AC186">
        <f>IF(F186="","",IFERROR(VLOOKUP(F186,Action_Templates!$A:$Q,14,FALSE),""))</f>
        <v/>
      </c>
      <c r="AD186">
        <f>IF(F186="","",IFERROR(VLOOKUP(F186,Action_Templates!$A:$Q,15,FALSE),""))</f>
        <v/>
      </c>
      <c r="AE186">
        <f>IF(O186="","",IF(OR(O186&lt;&gt;"Closed",AND(P186="YES",T186="Accepted")),"OK","BLOCKED"))</f>
        <v/>
      </c>
      <c r="AF186">
        <f>IF(OR(AC186="",R186=""),"",IF(ISNUMBER(SEARCH(AC186,R186)),"OK","CHECK"))</f>
        <v/>
      </c>
    </row>
    <row r="187">
      <c r="A187" t="inlineStr">
        <is>
          <t>ACT-00186</t>
        </is>
      </c>
      <c r="B187">
        <f>'Company_Profile'!B5</f>
        <v/>
      </c>
      <c r="C187">
        <f>'Company_Profile'!B2</f>
        <v/>
      </c>
      <c r="W187">
        <f>IF(AND(O187="Closed",AE187="OK"),TODAY(),"")</f>
        <v/>
      </c>
      <c r="AB187">
        <f>IF(F187="","",IFERROR(VLOOKUP(F187,Action_Templates!$A:$Q,13,FALSE),""))</f>
        <v/>
      </c>
      <c r="AC187">
        <f>IF(F187="","",IFERROR(VLOOKUP(F187,Action_Templates!$A:$Q,14,FALSE),""))</f>
        <v/>
      </c>
      <c r="AD187">
        <f>IF(F187="","",IFERROR(VLOOKUP(F187,Action_Templates!$A:$Q,15,FALSE),""))</f>
        <v/>
      </c>
      <c r="AE187">
        <f>IF(O187="","",IF(OR(O187&lt;&gt;"Closed",AND(P187="YES",T187="Accepted")),"OK","BLOCKED"))</f>
        <v/>
      </c>
      <c r="AF187">
        <f>IF(OR(AC187="",R187=""),"",IF(ISNUMBER(SEARCH(AC187,R187)),"OK","CHECK"))</f>
        <v/>
      </c>
    </row>
    <row r="188">
      <c r="A188" t="inlineStr">
        <is>
          <t>ACT-00187</t>
        </is>
      </c>
      <c r="B188">
        <f>'Company_Profile'!B5</f>
        <v/>
      </c>
      <c r="C188">
        <f>'Company_Profile'!B2</f>
        <v/>
      </c>
      <c r="W188">
        <f>IF(AND(O188="Closed",AE188="OK"),TODAY(),"")</f>
        <v/>
      </c>
      <c r="AB188">
        <f>IF(F188="","",IFERROR(VLOOKUP(F188,Action_Templates!$A:$Q,13,FALSE),""))</f>
        <v/>
      </c>
      <c r="AC188">
        <f>IF(F188="","",IFERROR(VLOOKUP(F188,Action_Templates!$A:$Q,14,FALSE),""))</f>
        <v/>
      </c>
      <c r="AD188">
        <f>IF(F188="","",IFERROR(VLOOKUP(F188,Action_Templates!$A:$Q,15,FALSE),""))</f>
        <v/>
      </c>
      <c r="AE188">
        <f>IF(O188="","",IF(OR(O188&lt;&gt;"Closed",AND(P188="YES",T188="Accepted")),"OK","BLOCKED"))</f>
        <v/>
      </c>
      <c r="AF188">
        <f>IF(OR(AC188="",R188=""),"",IF(ISNUMBER(SEARCH(AC188,R188)),"OK","CHECK"))</f>
        <v/>
      </c>
    </row>
    <row r="189">
      <c r="A189" t="inlineStr">
        <is>
          <t>ACT-00188</t>
        </is>
      </c>
      <c r="B189">
        <f>'Company_Profile'!B5</f>
        <v/>
      </c>
      <c r="C189">
        <f>'Company_Profile'!B2</f>
        <v/>
      </c>
      <c r="W189">
        <f>IF(AND(O189="Closed",AE189="OK"),TODAY(),"")</f>
        <v/>
      </c>
      <c r="AB189">
        <f>IF(F189="","",IFERROR(VLOOKUP(F189,Action_Templates!$A:$Q,13,FALSE),""))</f>
        <v/>
      </c>
      <c r="AC189">
        <f>IF(F189="","",IFERROR(VLOOKUP(F189,Action_Templates!$A:$Q,14,FALSE),""))</f>
        <v/>
      </c>
      <c r="AD189">
        <f>IF(F189="","",IFERROR(VLOOKUP(F189,Action_Templates!$A:$Q,15,FALSE),""))</f>
        <v/>
      </c>
      <c r="AE189">
        <f>IF(O189="","",IF(OR(O189&lt;&gt;"Closed",AND(P189="YES",T189="Accepted")),"OK","BLOCKED"))</f>
        <v/>
      </c>
      <c r="AF189">
        <f>IF(OR(AC189="",R189=""),"",IF(ISNUMBER(SEARCH(AC189,R189)),"OK","CHECK"))</f>
        <v/>
      </c>
    </row>
    <row r="190">
      <c r="A190" t="inlineStr">
        <is>
          <t>ACT-00189</t>
        </is>
      </c>
      <c r="B190">
        <f>'Company_Profile'!B5</f>
        <v/>
      </c>
      <c r="C190">
        <f>'Company_Profile'!B2</f>
        <v/>
      </c>
      <c r="W190">
        <f>IF(AND(O190="Closed",AE190="OK"),TODAY(),"")</f>
        <v/>
      </c>
      <c r="AB190">
        <f>IF(F190="","",IFERROR(VLOOKUP(F190,Action_Templates!$A:$Q,13,FALSE),""))</f>
        <v/>
      </c>
      <c r="AC190">
        <f>IF(F190="","",IFERROR(VLOOKUP(F190,Action_Templates!$A:$Q,14,FALSE),""))</f>
        <v/>
      </c>
      <c r="AD190">
        <f>IF(F190="","",IFERROR(VLOOKUP(F190,Action_Templates!$A:$Q,15,FALSE),""))</f>
        <v/>
      </c>
      <c r="AE190">
        <f>IF(O190="","",IF(OR(O190&lt;&gt;"Closed",AND(P190="YES",T190="Accepted")),"OK","BLOCKED"))</f>
        <v/>
      </c>
      <c r="AF190">
        <f>IF(OR(AC190="",R190=""),"",IF(ISNUMBER(SEARCH(AC190,R190)),"OK","CHECK"))</f>
        <v/>
      </c>
    </row>
    <row r="191">
      <c r="A191" t="inlineStr">
        <is>
          <t>ACT-00190</t>
        </is>
      </c>
      <c r="B191">
        <f>'Company_Profile'!B5</f>
        <v/>
      </c>
      <c r="C191">
        <f>'Company_Profile'!B2</f>
        <v/>
      </c>
      <c r="W191">
        <f>IF(AND(O191="Closed",AE191="OK"),TODAY(),"")</f>
        <v/>
      </c>
      <c r="AB191">
        <f>IF(F191="","",IFERROR(VLOOKUP(F191,Action_Templates!$A:$Q,13,FALSE),""))</f>
        <v/>
      </c>
      <c r="AC191">
        <f>IF(F191="","",IFERROR(VLOOKUP(F191,Action_Templates!$A:$Q,14,FALSE),""))</f>
        <v/>
      </c>
      <c r="AD191">
        <f>IF(F191="","",IFERROR(VLOOKUP(F191,Action_Templates!$A:$Q,15,FALSE),""))</f>
        <v/>
      </c>
      <c r="AE191">
        <f>IF(O191="","",IF(OR(O191&lt;&gt;"Closed",AND(P191="YES",T191="Accepted")),"OK","BLOCKED"))</f>
        <v/>
      </c>
      <c r="AF191">
        <f>IF(OR(AC191="",R191=""),"",IF(ISNUMBER(SEARCH(AC191,R191)),"OK","CHECK"))</f>
        <v/>
      </c>
    </row>
    <row r="192">
      <c r="A192" t="inlineStr">
        <is>
          <t>ACT-00191</t>
        </is>
      </c>
      <c r="B192">
        <f>'Company_Profile'!B5</f>
        <v/>
      </c>
      <c r="C192">
        <f>'Company_Profile'!B2</f>
        <v/>
      </c>
      <c r="W192">
        <f>IF(AND(O192="Closed",AE192="OK"),TODAY(),"")</f>
        <v/>
      </c>
      <c r="AB192">
        <f>IF(F192="","",IFERROR(VLOOKUP(F192,Action_Templates!$A:$Q,13,FALSE),""))</f>
        <v/>
      </c>
      <c r="AC192">
        <f>IF(F192="","",IFERROR(VLOOKUP(F192,Action_Templates!$A:$Q,14,FALSE),""))</f>
        <v/>
      </c>
      <c r="AD192">
        <f>IF(F192="","",IFERROR(VLOOKUP(F192,Action_Templates!$A:$Q,15,FALSE),""))</f>
        <v/>
      </c>
      <c r="AE192">
        <f>IF(O192="","",IF(OR(O192&lt;&gt;"Closed",AND(P192="YES",T192="Accepted")),"OK","BLOCKED"))</f>
        <v/>
      </c>
      <c r="AF192">
        <f>IF(OR(AC192="",R192=""),"",IF(ISNUMBER(SEARCH(AC192,R192)),"OK","CHECK"))</f>
        <v/>
      </c>
    </row>
    <row r="193">
      <c r="A193" t="inlineStr">
        <is>
          <t>ACT-00192</t>
        </is>
      </c>
      <c r="B193">
        <f>'Company_Profile'!B5</f>
        <v/>
      </c>
      <c r="C193">
        <f>'Company_Profile'!B2</f>
        <v/>
      </c>
      <c r="W193">
        <f>IF(AND(O193="Closed",AE193="OK"),TODAY(),"")</f>
        <v/>
      </c>
      <c r="AB193">
        <f>IF(F193="","",IFERROR(VLOOKUP(F193,Action_Templates!$A:$Q,13,FALSE),""))</f>
        <v/>
      </c>
      <c r="AC193">
        <f>IF(F193="","",IFERROR(VLOOKUP(F193,Action_Templates!$A:$Q,14,FALSE),""))</f>
        <v/>
      </c>
      <c r="AD193">
        <f>IF(F193="","",IFERROR(VLOOKUP(F193,Action_Templates!$A:$Q,15,FALSE),""))</f>
        <v/>
      </c>
      <c r="AE193">
        <f>IF(O193="","",IF(OR(O193&lt;&gt;"Closed",AND(P193="YES",T193="Accepted")),"OK","BLOCKED"))</f>
        <v/>
      </c>
      <c r="AF193">
        <f>IF(OR(AC193="",R193=""),"",IF(ISNUMBER(SEARCH(AC193,R193)),"OK","CHECK"))</f>
        <v/>
      </c>
    </row>
    <row r="194">
      <c r="A194" t="inlineStr">
        <is>
          <t>ACT-00193</t>
        </is>
      </c>
      <c r="B194">
        <f>'Company_Profile'!B5</f>
        <v/>
      </c>
      <c r="C194">
        <f>'Company_Profile'!B2</f>
        <v/>
      </c>
      <c r="W194">
        <f>IF(AND(O194="Closed",AE194="OK"),TODAY(),"")</f>
        <v/>
      </c>
      <c r="AB194">
        <f>IF(F194="","",IFERROR(VLOOKUP(F194,Action_Templates!$A:$Q,13,FALSE),""))</f>
        <v/>
      </c>
      <c r="AC194">
        <f>IF(F194="","",IFERROR(VLOOKUP(F194,Action_Templates!$A:$Q,14,FALSE),""))</f>
        <v/>
      </c>
      <c r="AD194">
        <f>IF(F194="","",IFERROR(VLOOKUP(F194,Action_Templates!$A:$Q,15,FALSE),""))</f>
        <v/>
      </c>
      <c r="AE194">
        <f>IF(O194="","",IF(OR(O194&lt;&gt;"Closed",AND(P194="YES",T194="Accepted")),"OK","BLOCKED"))</f>
        <v/>
      </c>
      <c r="AF194">
        <f>IF(OR(AC194="",R194=""),"",IF(ISNUMBER(SEARCH(AC194,R194)),"OK","CHECK"))</f>
        <v/>
      </c>
    </row>
    <row r="195">
      <c r="A195" t="inlineStr">
        <is>
          <t>ACT-00194</t>
        </is>
      </c>
      <c r="B195">
        <f>'Company_Profile'!B5</f>
        <v/>
      </c>
      <c r="C195">
        <f>'Company_Profile'!B2</f>
        <v/>
      </c>
      <c r="W195">
        <f>IF(AND(O195="Closed",AE195="OK"),TODAY(),"")</f>
        <v/>
      </c>
      <c r="AB195">
        <f>IF(F195="","",IFERROR(VLOOKUP(F195,Action_Templates!$A:$Q,13,FALSE),""))</f>
        <v/>
      </c>
      <c r="AC195">
        <f>IF(F195="","",IFERROR(VLOOKUP(F195,Action_Templates!$A:$Q,14,FALSE),""))</f>
        <v/>
      </c>
      <c r="AD195">
        <f>IF(F195="","",IFERROR(VLOOKUP(F195,Action_Templates!$A:$Q,15,FALSE),""))</f>
        <v/>
      </c>
      <c r="AE195">
        <f>IF(O195="","",IF(OR(O195&lt;&gt;"Closed",AND(P195="YES",T195="Accepted")),"OK","BLOCKED"))</f>
        <v/>
      </c>
      <c r="AF195">
        <f>IF(OR(AC195="",R195=""),"",IF(ISNUMBER(SEARCH(AC195,R195)),"OK","CHECK"))</f>
        <v/>
      </c>
    </row>
    <row r="196">
      <c r="A196" t="inlineStr">
        <is>
          <t>ACT-00195</t>
        </is>
      </c>
      <c r="B196">
        <f>'Company_Profile'!B5</f>
        <v/>
      </c>
      <c r="C196">
        <f>'Company_Profile'!B2</f>
        <v/>
      </c>
      <c r="W196">
        <f>IF(AND(O196="Closed",AE196="OK"),TODAY(),"")</f>
        <v/>
      </c>
      <c r="AB196">
        <f>IF(F196="","",IFERROR(VLOOKUP(F196,Action_Templates!$A:$Q,13,FALSE),""))</f>
        <v/>
      </c>
      <c r="AC196">
        <f>IF(F196="","",IFERROR(VLOOKUP(F196,Action_Templates!$A:$Q,14,FALSE),""))</f>
        <v/>
      </c>
      <c r="AD196">
        <f>IF(F196="","",IFERROR(VLOOKUP(F196,Action_Templates!$A:$Q,15,FALSE),""))</f>
        <v/>
      </c>
      <c r="AE196">
        <f>IF(O196="","",IF(OR(O196&lt;&gt;"Closed",AND(P196="YES",T196="Accepted")),"OK","BLOCKED"))</f>
        <v/>
      </c>
      <c r="AF196">
        <f>IF(OR(AC196="",R196=""),"",IF(ISNUMBER(SEARCH(AC196,R196)),"OK","CHECK"))</f>
        <v/>
      </c>
    </row>
    <row r="197">
      <c r="A197" t="inlineStr">
        <is>
          <t>ACT-00196</t>
        </is>
      </c>
      <c r="B197">
        <f>'Company_Profile'!B5</f>
        <v/>
      </c>
      <c r="C197">
        <f>'Company_Profile'!B2</f>
        <v/>
      </c>
      <c r="W197">
        <f>IF(AND(O197="Closed",AE197="OK"),TODAY(),"")</f>
        <v/>
      </c>
      <c r="AB197">
        <f>IF(F197="","",IFERROR(VLOOKUP(F197,Action_Templates!$A:$Q,13,FALSE),""))</f>
        <v/>
      </c>
      <c r="AC197">
        <f>IF(F197="","",IFERROR(VLOOKUP(F197,Action_Templates!$A:$Q,14,FALSE),""))</f>
        <v/>
      </c>
      <c r="AD197">
        <f>IF(F197="","",IFERROR(VLOOKUP(F197,Action_Templates!$A:$Q,15,FALSE),""))</f>
        <v/>
      </c>
      <c r="AE197">
        <f>IF(O197="","",IF(OR(O197&lt;&gt;"Closed",AND(P197="YES",T197="Accepted")),"OK","BLOCKED"))</f>
        <v/>
      </c>
      <c r="AF197">
        <f>IF(OR(AC197="",R197=""),"",IF(ISNUMBER(SEARCH(AC197,R197)),"OK","CHECK"))</f>
        <v/>
      </c>
    </row>
    <row r="198">
      <c r="A198" t="inlineStr">
        <is>
          <t>ACT-00197</t>
        </is>
      </c>
      <c r="B198">
        <f>'Company_Profile'!B5</f>
        <v/>
      </c>
      <c r="C198">
        <f>'Company_Profile'!B2</f>
        <v/>
      </c>
      <c r="W198">
        <f>IF(AND(O198="Closed",AE198="OK"),TODAY(),"")</f>
        <v/>
      </c>
      <c r="AB198">
        <f>IF(F198="","",IFERROR(VLOOKUP(F198,Action_Templates!$A:$Q,13,FALSE),""))</f>
        <v/>
      </c>
      <c r="AC198">
        <f>IF(F198="","",IFERROR(VLOOKUP(F198,Action_Templates!$A:$Q,14,FALSE),""))</f>
        <v/>
      </c>
      <c r="AD198">
        <f>IF(F198="","",IFERROR(VLOOKUP(F198,Action_Templates!$A:$Q,15,FALSE),""))</f>
        <v/>
      </c>
      <c r="AE198">
        <f>IF(O198="","",IF(OR(O198&lt;&gt;"Closed",AND(P198="YES",T198="Accepted")),"OK","BLOCKED"))</f>
        <v/>
      </c>
      <c r="AF198">
        <f>IF(OR(AC198="",R198=""),"",IF(ISNUMBER(SEARCH(AC198,R198)),"OK","CHECK"))</f>
        <v/>
      </c>
    </row>
    <row r="199">
      <c r="A199" t="inlineStr">
        <is>
          <t>ACT-00198</t>
        </is>
      </c>
      <c r="B199">
        <f>'Company_Profile'!B5</f>
        <v/>
      </c>
      <c r="C199">
        <f>'Company_Profile'!B2</f>
        <v/>
      </c>
      <c r="W199">
        <f>IF(AND(O199="Closed",AE199="OK"),TODAY(),"")</f>
        <v/>
      </c>
      <c r="AB199">
        <f>IF(F199="","",IFERROR(VLOOKUP(F199,Action_Templates!$A:$Q,13,FALSE),""))</f>
        <v/>
      </c>
      <c r="AC199">
        <f>IF(F199="","",IFERROR(VLOOKUP(F199,Action_Templates!$A:$Q,14,FALSE),""))</f>
        <v/>
      </c>
      <c r="AD199">
        <f>IF(F199="","",IFERROR(VLOOKUP(F199,Action_Templates!$A:$Q,15,FALSE),""))</f>
        <v/>
      </c>
      <c r="AE199">
        <f>IF(O199="","",IF(OR(O199&lt;&gt;"Closed",AND(P199="YES",T199="Accepted")),"OK","BLOCKED"))</f>
        <v/>
      </c>
      <c r="AF199">
        <f>IF(OR(AC199="",R199=""),"",IF(ISNUMBER(SEARCH(AC199,R199)),"OK","CHECK"))</f>
        <v/>
      </c>
    </row>
    <row r="200">
      <c r="A200" t="inlineStr">
        <is>
          <t>ACT-00199</t>
        </is>
      </c>
      <c r="B200">
        <f>'Company_Profile'!B5</f>
        <v/>
      </c>
      <c r="C200">
        <f>'Company_Profile'!B2</f>
        <v/>
      </c>
      <c r="W200">
        <f>IF(AND(O200="Closed",AE200="OK"),TODAY(),"")</f>
        <v/>
      </c>
      <c r="AB200">
        <f>IF(F200="","",IFERROR(VLOOKUP(F200,Action_Templates!$A:$Q,13,FALSE),""))</f>
        <v/>
      </c>
      <c r="AC200">
        <f>IF(F200="","",IFERROR(VLOOKUP(F200,Action_Templates!$A:$Q,14,FALSE),""))</f>
        <v/>
      </c>
      <c r="AD200">
        <f>IF(F200="","",IFERROR(VLOOKUP(F200,Action_Templates!$A:$Q,15,FALSE),""))</f>
        <v/>
      </c>
      <c r="AE200">
        <f>IF(O200="","",IF(OR(O200&lt;&gt;"Closed",AND(P200="YES",T200="Accepted")),"OK","BLOCKED"))</f>
        <v/>
      </c>
      <c r="AF200">
        <f>IF(OR(AC200="",R200=""),"",IF(ISNUMBER(SEARCH(AC200,R200)),"OK","CHECK"))</f>
        <v/>
      </c>
    </row>
    <row r="201">
      <c r="A201" t="inlineStr">
        <is>
          <t>ACT-00200</t>
        </is>
      </c>
      <c r="B201">
        <f>'Company_Profile'!B5</f>
        <v/>
      </c>
      <c r="C201">
        <f>'Company_Profile'!B2</f>
        <v/>
      </c>
      <c r="W201">
        <f>IF(AND(O201="Closed",AE201="OK"),TODAY(),"")</f>
        <v/>
      </c>
      <c r="AB201">
        <f>IF(F201="","",IFERROR(VLOOKUP(F201,Action_Templates!$A:$Q,13,FALSE),""))</f>
        <v/>
      </c>
      <c r="AC201">
        <f>IF(F201="","",IFERROR(VLOOKUP(F201,Action_Templates!$A:$Q,14,FALSE),""))</f>
        <v/>
      </c>
      <c r="AD201">
        <f>IF(F201="","",IFERROR(VLOOKUP(F201,Action_Templates!$A:$Q,15,FALSE),""))</f>
        <v/>
      </c>
      <c r="AE201">
        <f>IF(O201="","",IF(OR(O201&lt;&gt;"Closed",AND(P201="YES",T201="Accepted")),"OK","BLOCKED"))</f>
        <v/>
      </c>
      <c r="AF201">
        <f>IF(OR(AC201="",R201=""),"",IF(ISNUMBER(SEARCH(AC201,R201)),"OK","CHECK"))</f>
        <v/>
      </c>
    </row>
    <row r="202">
      <c r="W202">
        <f>IF(AND(O202="Closed",AE202="OK"),TODAY(),"")</f>
        <v/>
      </c>
      <c r="AB202">
        <f>IF(F202="","",IFERROR(VLOOKUP(F202,Action_Templates!$A:$Q,13,FALSE),""))</f>
        <v/>
      </c>
      <c r="AC202">
        <f>IF(F202="","",IFERROR(VLOOKUP(F202,Action_Templates!$A:$Q,14,FALSE),""))</f>
        <v/>
      </c>
      <c r="AD202">
        <f>IF(F202="","",IFERROR(VLOOKUP(F202,Action_Templates!$A:$Q,15,FALSE),""))</f>
        <v/>
      </c>
      <c r="AE202">
        <f>IF(O202="","",IF(OR(O202&lt;&gt;"Closed",AND(P202="YES",T202="Accepted")),"OK","BLOCKED"))</f>
        <v/>
      </c>
      <c r="AF202">
        <f>IF(OR(AC202="",R202=""),"",IF(ISNUMBER(SEARCH(AC202,R202)),"OK","CHECK"))</f>
        <v/>
      </c>
    </row>
    <row r="203">
      <c r="W203">
        <f>IF(AND(O203="Closed",AE203="OK"),TODAY(),"")</f>
        <v/>
      </c>
      <c r="AB203">
        <f>IF(F203="","",IFERROR(VLOOKUP(F203,Action_Templates!$A:$Q,13,FALSE),""))</f>
        <v/>
      </c>
      <c r="AC203">
        <f>IF(F203="","",IFERROR(VLOOKUP(F203,Action_Templates!$A:$Q,14,FALSE),""))</f>
        <v/>
      </c>
      <c r="AD203">
        <f>IF(F203="","",IFERROR(VLOOKUP(F203,Action_Templates!$A:$Q,15,FALSE),""))</f>
        <v/>
      </c>
      <c r="AE203">
        <f>IF(O203="","",IF(OR(O203&lt;&gt;"Closed",AND(P203="YES",T203="Accepted")),"OK","BLOCKED"))</f>
        <v/>
      </c>
      <c r="AF203">
        <f>IF(OR(AC203="",R203=""),"",IF(ISNUMBER(SEARCH(AC203,R203)),"OK","CHECK"))</f>
        <v/>
      </c>
    </row>
    <row r="204">
      <c r="W204">
        <f>IF(AND(O204="Closed",AE204="OK"),TODAY(),"")</f>
        <v/>
      </c>
      <c r="AB204">
        <f>IF(F204="","",IFERROR(VLOOKUP(F204,Action_Templates!$A:$Q,13,FALSE),""))</f>
        <v/>
      </c>
      <c r="AC204">
        <f>IF(F204="","",IFERROR(VLOOKUP(F204,Action_Templates!$A:$Q,14,FALSE),""))</f>
        <v/>
      </c>
      <c r="AD204">
        <f>IF(F204="","",IFERROR(VLOOKUP(F204,Action_Templates!$A:$Q,15,FALSE),""))</f>
        <v/>
      </c>
      <c r="AE204">
        <f>IF(O204="","",IF(OR(O204&lt;&gt;"Closed",AND(P204="YES",T204="Accepted")),"OK","BLOCKED"))</f>
        <v/>
      </c>
      <c r="AF204">
        <f>IF(OR(AC204="",R204=""),"",IF(ISNUMBER(SEARCH(AC204,R204)),"OK","CHECK"))</f>
        <v/>
      </c>
    </row>
    <row r="205">
      <c r="W205">
        <f>IF(AND(O205="Closed",AE205="OK"),TODAY(),"")</f>
        <v/>
      </c>
      <c r="AB205">
        <f>IF(F205="","",IFERROR(VLOOKUP(F205,Action_Templates!$A:$Q,13,FALSE),""))</f>
        <v/>
      </c>
      <c r="AC205">
        <f>IF(F205="","",IFERROR(VLOOKUP(F205,Action_Templates!$A:$Q,14,FALSE),""))</f>
        <v/>
      </c>
      <c r="AD205">
        <f>IF(F205="","",IFERROR(VLOOKUP(F205,Action_Templates!$A:$Q,15,FALSE),""))</f>
        <v/>
      </c>
      <c r="AE205">
        <f>IF(O205="","",IF(OR(O205&lt;&gt;"Closed",AND(P205="YES",T205="Accepted")),"OK","BLOCKED"))</f>
        <v/>
      </c>
      <c r="AF205">
        <f>IF(OR(AC205="",R205=""),"",IF(ISNUMBER(SEARCH(AC205,R205)),"OK","CHECK"))</f>
        <v/>
      </c>
    </row>
    <row r="206">
      <c r="W206">
        <f>IF(AND(O206="Closed",AE206="OK"),TODAY(),"")</f>
        <v/>
      </c>
      <c r="AB206">
        <f>IF(F206="","",IFERROR(VLOOKUP(F206,Action_Templates!$A:$Q,13,FALSE),""))</f>
        <v/>
      </c>
      <c r="AC206">
        <f>IF(F206="","",IFERROR(VLOOKUP(F206,Action_Templates!$A:$Q,14,FALSE),""))</f>
        <v/>
      </c>
      <c r="AD206">
        <f>IF(F206="","",IFERROR(VLOOKUP(F206,Action_Templates!$A:$Q,15,FALSE),""))</f>
        <v/>
      </c>
      <c r="AE206">
        <f>IF(O206="","",IF(OR(O206&lt;&gt;"Closed",AND(P206="YES",T206="Accepted")),"OK","BLOCKED"))</f>
        <v/>
      </c>
      <c r="AF206">
        <f>IF(OR(AC206="",R206=""),"",IF(ISNUMBER(SEARCH(AC206,R206)),"OK","CHECK"))</f>
        <v/>
      </c>
    </row>
    <row r="207">
      <c r="W207">
        <f>IF(AND(O207="Closed",AE207="OK"),TODAY(),"")</f>
        <v/>
      </c>
      <c r="AB207">
        <f>IF(F207="","",IFERROR(VLOOKUP(F207,Action_Templates!$A:$Q,13,FALSE),""))</f>
        <v/>
      </c>
      <c r="AC207">
        <f>IF(F207="","",IFERROR(VLOOKUP(F207,Action_Templates!$A:$Q,14,FALSE),""))</f>
        <v/>
      </c>
      <c r="AD207">
        <f>IF(F207="","",IFERROR(VLOOKUP(F207,Action_Templates!$A:$Q,15,FALSE),""))</f>
        <v/>
      </c>
      <c r="AE207">
        <f>IF(O207="","",IF(OR(O207&lt;&gt;"Closed",AND(P207="YES",T207="Accepted")),"OK","BLOCKED"))</f>
        <v/>
      </c>
      <c r="AF207">
        <f>IF(OR(AC207="",R207=""),"",IF(ISNUMBER(SEARCH(AC207,R207)),"OK","CHECK"))</f>
        <v/>
      </c>
    </row>
    <row r="208">
      <c r="W208">
        <f>IF(AND(O208="Closed",AE208="OK"),TODAY(),"")</f>
        <v/>
      </c>
      <c r="AB208">
        <f>IF(F208="","",IFERROR(VLOOKUP(F208,Action_Templates!$A:$Q,13,FALSE),""))</f>
        <v/>
      </c>
      <c r="AC208">
        <f>IF(F208="","",IFERROR(VLOOKUP(F208,Action_Templates!$A:$Q,14,FALSE),""))</f>
        <v/>
      </c>
      <c r="AD208">
        <f>IF(F208="","",IFERROR(VLOOKUP(F208,Action_Templates!$A:$Q,15,FALSE),""))</f>
        <v/>
      </c>
      <c r="AE208">
        <f>IF(O208="","",IF(OR(O208&lt;&gt;"Closed",AND(P208="YES",T208="Accepted")),"OK","BLOCKED"))</f>
        <v/>
      </c>
      <c r="AF208">
        <f>IF(OR(AC208="",R208=""),"",IF(ISNUMBER(SEARCH(AC208,R208)),"OK","CHECK"))</f>
        <v/>
      </c>
    </row>
    <row r="209">
      <c r="W209">
        <f>IF(AND(O209="Closed",AE209="OK"),TODAY(),"")</f>
        <v/>
      </c>
      <c r="AB209">
        <f>IF(F209="","",IFERROR(VLOOKUP(F209,Action_Templates!$A:$Q,13,FALSE),""))</f>
        <v/>
      </c>
      <c r="AC209">
        <f>IF(F209="","",IFERROR(VLOOKUP(F209,Action_Templates!$A:$Q,14,FALSE),""))</f>
        <v/>
      </c>
      <c r="AD209">
        <f>IF(F209="","",IFERROR(VLOOKUP(F209,Action_Templates!$A:$Q,15,FALSE),""))</f>
        <v/>
      </c>
      <c r="AE209">
        <f>IF(O209="","",IF(OR(O209&lt;&gt;"Closed",AND(P209="YES",T209="Accepted")),"OK","BLOCKED"))</f>
        <v/>
      </c>
      <c r="AF209">
        <f>IF(OR(AC209="",R209=""),"",IF(ISNUMBER(SEARCH(AC209,R209)),"OK","CHECK"))</f>
        <v/>
      </c>
    </row>
    <row r="210">
      <c r="W210">
        <f>IF(AND(O210="Closed",AE210="OK"),TODAY(),"")</f>
        <v/>
      </c>
      <c r="AB210">
        <f>IF(F210="","",IFERROR(VLOOKUP(F210,Action_Templates!$A:$Q,13,FALSE),""))</f>
        <v/>
      </c>
      <c r="AC210">
        <f>IF(F210="","",IFERROR(VLOOKUP(F210,Action_Templates!$A:$Q,14,FALSE),""))</f>
        <v/>
      </c>
      <c r="AD210">
        <f>IF(F210="","",IFERROR(VLOOKUP(F210,Action_Templates!$A:$Q,15,FALSE),""))</f>
        <v/>
      </c>
      <c r="AE210">
        <f>IF(O210="","",IF(OR(O210&lt;&gt;"Closed",AND(P210="YES",T210="Accepted")),"OK","BLOCKED"))</f>
        <v/>
      </c>
      <c r="AF210">
        <f>IF(OR(AC210="",R210=""),"",IF(ISNUMBER(SEARCH(AC210,R210)),"OK","CHECK"))</f>
        <v/>
      </c>
    </row>
    <row r="211">
      <c r="W211">
        <f>IF(AND(O211="Closed",AE211="OK"),TODAY(),"")</f>
        <v/>
      </c>
      <c r="AB211">
        <f>IF(F211="","",IFERROR(VLOOKUP(F211,Action_Templates!$A:$Q,13,FALSE),""))</f>
        <v/>
      </c>
      <c r="AC211">
        <f>IF(F211="","",IFERROR(VLOOKUP(F211,Action_Templates!$A:$Q,14,FALSE),""))</f>
        <v/>
      </c>
      <c r="AD211">
        <f>IF(F211="","",IFERROR(VLOOKUP(F211,Action_Templates!$A:$Q,15,FALSE),""))</f>
        <v/>
      </c>
      <c r="AE211">
        <f>IF(O211="","",IF(OR(O211&lt;&gt;"Closed",AND(P211="YES",T211="Accepted")),"OK","BLOCKED"))</f>
        <v/>
      </c>
      <c r="AF211">
        <f>IF(OR(AC211="",R211=""),"",IF(ISNUMBER(SEARCH(AC211,R211)),"OK","CHECK"))</f>
        <v/>
      </c>
    </row>
    <row r="212">
      <c r="W212">
        <f>IF(AND(O212="Closed",AE212="OK"),TODAY(),"")</f>
        <v/>
      </c>
      <c r="AB212">
        <f>IF(F212="","",IFERROR(VLOOKUP(F212,Action_Templates!$A:$Q,13,FALSE),""))</f>
        <v/>
      </c>
      <c r="AC212">
        <f>IF(F212="","",IFERROR(VLOOKUP(F212,Action_Templates!$A:$Q,14,FALSE),""))</f>
        <v/>
      </c>
      <c r="AD212">
        <f>IF(F212="","",IFERROR(VLOOKUP(F212,Action_Templates!$A:$Q,15,FALSE),""))</f>
        <v/>
      </c>
      <c r="AE212">
        <f>IF(O212="","",IF(OR(O212&lt;&gt;"Closed",AND(P212="YES",T212="Accepted")),"OK","BLOCKED"))</f>
        <v/>
      </c>
      <c r="AF212">
        <f>IF(OR(AC212="",R212=""),"",IF(ISNUMBER(SEARCH(AC212,R212)),"OK","CHECK"))</f>
        <v/>
      </c>
    </row>
    <row r="213">
      <c r="W213">
        <f>IF(AND(O213="Closed",AE213="OK"),TODAY(),"")</f>
        <v/>
      </c>
      <c r="AB213">
        <f>IF(F213="","",IFERROR(VLOOKUP(F213,Action_Templates!$A:$Q,13,FALSE),""))</f>
        <v/>
      </c>
      <c r="AC213">
        <f>IF(F213="","",IFERROR(VLOOKUP(F213,Action_Templates!$A:$Q,14,FALSE),""))</f>
        <v/>
      </c>
      <c r="AD213">
        <f>IF(F213="","",IFERROR(VLOOKUP(F213,Action_Templates!$A:$Q,15,FALSE),""))</f>
        <v/>
      </c>
      <c r="AE213">
        <f>IF(O213="","",IF(OR(O213&lt;&gt;"Closed",AND(P213="YES",T213="Accepted")),"OK","BLOCKED"))</f>
        <v/>
      </c>
      <c r="AF213">
        <f>IF(OR(AC213="",R213=""),"",IF(ISNUMBER(SEARCH(AC213,R213)),"OK","CHECK"))</f>
        <v/>
      </c>
    </row>
    <row r="214">
      <c r="W214">
        <f>IF(AND(O214="Closed",AE214="OK"),TODAY(),"")</f>
        <v/>
      </c>
      <c r="AB214">
        <f>IF(F214="","",IFERROR(VLOOKUP(F214,Action_Templates!$A:$Q,13,FALSE),""))</f>
        <v/>
      </c>
      <c r="AC214">
        <f>IF(F214="","",IFERROR(VLOOKUP(F214,Action_Templates!$A:$Q,14,FALSE),""))</f>
        <v/>
      </c>
      <c r="AD214">
        <f>IF(F214="","",IFERROR(VLOOKUP(F214,Action_Templates!$A:$Q,15,FALSE),""))</f>
        <v/>
      </c>
      <c r="AE214">
        <f>IF(O214="","",IF(OR(O214&lt;&gt;"Closed",AND(P214="YES",T214="Accepted")),"OK","BLOCKED"))</f>
        <v/>
      </c>
      <c r="AF214">
        <f>IF(OR(AC214="",R214=""),"",IF(ISNUMBER(SEARCH(AC214,R214)),"OK","CHECK"))</f>
        <v/>
      </c>
    </row>
    <row r="215">
      <c r="W215">
        <f>IF(AND(O215="Closed",AE215="OK"),TODAY(),"")</f>
        <v/>
      </c>
      <c r="AB215">
        <f>IF(F215="","",IFERROR(VLOOKUP(F215,Action_Templates!$A:$Q,13,FALSE),""))</f>
        <v/>
      </c>
      <c r="AC215">
        <f>IF(F215="","",IFERROR(VLOOKUP(F215,Action_Templates!$A:$Q,14,FALSE),""))</f>
        <v/>
      </c>
      <c r="AD215">
        <f>IF(F215="","",IFERROR(VLOOKUP(F215,Action_Templates!$A:$Q,15,FALSE),""))</f>
        <v/>
      </c>
      <c r="AE215">
        <f>IF(O215="","",IF(OR(O215&lt;&gt;"Closed",AND(P215="YES",T215="Accepted")),"OK","BLOCKED"))</f>
        <v/>
      </c>
      <c r="AF215">
        <f>IF(OR(AC215="",R215=""),"",IF(ISNUMBER(SEARCH(AC215,R215)),"OK","CHECK"))</f>
        <v/>
      </c>
    </row>
    <row r="216">
      <c r="W216">
        <f>IF(AND(O216="Closed",AE216="OK"),TODAY(),"")</f>
        <v/>
      </c>
      <c r="AB216">
        <f>IF(F216="","",IFERROR(VLOOKUP(F216,Action_Templates!$A:$Q,13,FALSE),""))</f>
        <v/>
      </c>
      <c r="AC216">
        <f>IF(F216="","",IFERROR(VLOOKUP(F216,Action_Templates!$A:$Q,14,FALSE),""))</f>
        <v/>
      </c>
      <c r="AD216">
        <f>IF(F216="","",IFERROR(VLOOKUP(F216,Action_Templates!$A:$Q,15,FALSE),""))</f>
        <v/>
      </c>
      <c r="AE216">
        <f>IF(O216="","",IF(OR(O216&lt;&gt;"Closed",AND(P216="YES",T216="Accepted")),"OK","BLOCKED"))</f>
        <v/>
      </c>
      <c r="AF216">
        <f>IF(OR(AC216="",R216=""),"",IF(ISNUMBER(SEARCH(AC216,R216)),"OK","CHECK"))</f>
        <v/>
      </c>
    </row>
    <row r="217">
      <c r="W217">
        <f>IF(AND(O217="Closed",AE217="OK"),TODAY(),"")</f>
        <v/>
      </c>
      <c r="AB217">
        <f>IF(F217="","",IFERROR(VLOOKUP(F217,Action_Templates!$A:$Q,13,FALSE),""))</f>
        <v/>
      </c>
      <c r="AC217">
        <f>IF(F217="","",IFERROR(VLOOKUP(F217,Action_Templates!$A:$Q,14,FALSE),""))</f>
        <v/>
      </c>
      <c r="AD217">
        <f>IF(F217="","",IFERROR(VLOOKUP(F217,Action_Templates!$A:$Q,15,FALSE),""))</f>
        <v/>
      </c>
      <c r="AE217">
        <f>IF(O217="","",IF(OR(O217&lt;&gt;"Closed",AND(P217="YES",T217="Accepted")),"OK","BLOCKED"))</f>
        <v/>
      </c>
      <c r="AF217">
        <f>IF(OR(AC217="",R217=""),"",IF(ISNUMBER(SEARCH(AC217,R217)),"OK","CHECK"))</f>
        <v/>
      </c>
    </row>
    <row r="218">
      <c r="W218">
        <f>IF(AND(O218="Closed",AE218="OK"),TODAY(),"")</f>
        <v/>
      </c>
      <c r="AB218">
        <f>IF(F218="","",IFERROR(VLOOKUP(F218,Action_Templates!$A:$Q,13,FALSE),""))</f>
        <v/>
      </c>
      <c r="AC218">
        <f>IF(F218="","",IFERROR(VLOOKUP(F218,Action_Templates!$A:$Q,14,FALSE),""))</f>
        <v/>
      </c>
      <c r="AD218">
        <f>IF(F218="","",IFERROR(VLOOKUP(F218,Action_Templates!$A:$Q,15,FALSE),""))</f>
        <v/>
      </c>
      <c r="AE218">
        <f>IF(O218="","",IF(OR(O218&lt;&gt;"Closed",AND(P218="YES",T218="Accepted")),"OK","BLOCKED"))</f>
        <v/>
      </c>
      <c r="AF218">
        <f>IF(OR(AC218="",R218=""),"",IF(ISNUMBER(SEARCH(AC218,R218)),"OK","CHECK"))</f>
        <v/>
      </c>
    </row>
    <row r="219">
      <c r="W219">
        <f>IF(AND(O219="Closed",AE219="OK"),TODAY(),"")</f>
        <v/>
      </c>
      <c r="AB219">
        <f>IF(F219="","",IFERROR(VLOOKUP(F219,Action_Templates!$A:$Q,13,FALSE),""))</f>
        <v/>
      </c>
      <c r="AC219">
        <f>IF(F219="","",IFERROR(VLOOKUP(F219,Action_Templates!$A:$Q,14,FALSE),""))</f>
        <v/>
      </c>
      <c r="AD219">
        <f>IF(F219="","",IFERROR(VLOOKUP(F219,Action_Templates!$A:$Q,15,FALSE),""))</f>
        <v/>
      </c>
      <c r="AE219">
        <f>IF(O219="","",IF(OR(O219&lt;&gt;"Closed",AND(P219="YES",T219="Accepted")),"OK","BLOCKED"))</f>
        <v/>
      </c>
      <c r="AF219">
        <f>IF(OR(AC219="",R219=""),"",IF(ISNUMBER(SEARCH(AC219,R219)),"OK","CHECK"))</f>
        <v/>
      </c>
    </row>
    <row r="220">
      <c r="W220">
        <f>IF(AND(O220="Closed",AE220="OK"),TODAY(),"")</f>
        <v/>
      </c>
      <c r="AB220">
        <f>IF(F220="","",IFERROR(VLOOKUP(F220,Action_Templates!$A:$Q,13,FALSE),""))</f>
        <v/>
      </c>
      <c r="AC220">
        <f>IF(F220="","",IFERROR(VLOOKUP(F220,Action_Templates!$A:$Q,14,FALSE),""))</f>
        <v/>
      </c>
      <c r="AD220">
        <f>IF(F220="","",IFERROR(VLOOKUP(F220,Action_Templates!$A:$Q,15,FALSE),""))</f>
        <v/>
      </c>
      <c r="AE220">
        <f>IF(O220="","",IF(OR(O220&lt;&gt;"Closed",AND(P220="YES",T220="Accepted")),"OK","BLOCKED"))</f>
        <v/>
      </c>
      <c r="AF220">
        <f>IF(OR(AC220="",R220=""),"",IF(ISNUMBER(SEARCH(AC220,R220)),"OK","CHECK"))</f>
        <v/>
      </c>
    </row>
    <row r="221">
      <c r="W221">
        <f>IF(AND(O221="Closed",AE221="OK"),TODAY(),"")</f>
        <v/>
      </c>
      <c r="AB221">
        <f>IF(F221="","",IFERROR(VLOOKUP(F221,Action_Templates!$A:$Q,13,FALSE),""))</f>
        <v/>
      </c>
      <c r="AC221">
        <f>IF(F221="","",IFERROR(VLOOKUP(F221,Action_Templates!$A:$Q,14,FALSE),""))</f>
        <v/>
      </c>
      <c r="AD221">
        <f>IF(F221="","",IFERROR(VLOOKUP(F221,Action_Templates!$A:$Q,15,FALSE),""))</f>
        <v/>
      </c>
      <c r="AE221">
        <f>IF(O221="","",IF(OR(O221&lt;&gt;"Closed",AND(P221="YES",T221="Accepted")),"OK","BLOCKED"))</f>
        <v/>
      </c>
      <c r="AF221">
        <f>IF(OR(AC221="",R221=""),"",IF(ISNUMBER(SEARCH(AC221,R221)),"OK","CHECK"))</f>
        <v/>
      </c>
    </row>
    <row r="222">
      <c r="W222">
        <f>IF(AND(O222="Closed",AE222="OK"),TODAY(),"")</f>
        <v/>
      </c>
      <c r="AB222">
        <f>IF(F222="","",IFERROR(VLOOKUP(F222,Action_Templates!$A:$Q,13,FALSE),""))</f>
        <v/>
      </c>
      <c r="AC222">
        <f>IF(F222="","",IFERROR(VLOOKUP(F222,Action_Templates!$A:$Q,14,FALSE),""))</f>
        <v/>
      </c>
      <c r="AD222">
        <f>IF(F222="","",IFERROR(VLOOKUP(F222,Action_Templates!$A:$Q,15,FALSE),""))</f>
        <v/>
      </c>
      <c r="AE222">
        <f>IF(O222="","",IF(OR(O222&lt;&gt;"Closed",AND(P222="YES",T222="Accepted")),"OK","BLOCKED"))</f>
        <v/>
      </c>
      <c r="AF222">
        <f>IF(OR(AC222="",R222=""),"",IF(ISNUMBER(SEARCH(AC222,R222)),"OK","CHECK"))</f>
        <v/>
      </c>
    </row>
    <row r="223">
      <c r="W223">
        <f>IF(AND(O223="Closed",AE223="OK"),TODAY(),"")</f>
        <v/>
      </c>
      <c r="AB223">
        <f>IF(F223="","",IFERROR(VLOOKUP(F223,Action_Templates!$A:$Q,13,FALSE),""))</f>
        <v/>
      </c>
      <c r="AC223">
        <f>IF(F223="","",IFERROR(VLOOKUP(F223,Action_Templates!$A:$Q,14,FALSE),""))</f>
        <v/>
      </c>
      <c r="AD223">
        <f>IF(F223="","",IFERROR(VLOOKUP(F223,Action_Templates!$A:$Q,15,FALSE),""))</f>
        <v/>
      </c>
      <c r="AE223">
        <f>IF(O223="","",IF(OR(O223&lt;&gt;"Closed",AND(P223="YES",T223="Accepted")),"OK","BLOCKED"))</f>
        <v/>
      </c>
      <c r="AF223">
        <f>IF(OR(AC223="",R223=""),"",IF(ISNUMBER(SEARCH(AC223,R223)),"OK","CHECK"))</f>
        <v/>
      </c>
    </row>
    <row r="224">
      <c r="W224">
        <f>IF(AND(O224="Closed",AE224="OK"),TODAY(),"")</f>
        <v/>
      </c>
      <c r="AB224">
        <f>IF(F224="","",IFERROR(VLOOKUP(F224,Action_Templates!$A:$Q,13,FALSE),""))</f>
        <v/>
      </c>
      <c r="AC224">
        <f>IF(F224="","",IFERROR(VLOOKUP(F224,Action_Templates!$A:$Q,14,FALSE),""))</f>
        <v/>
      </c>
      <c r="AD224">
        <f>IF(F224="","",IFERROR(VLOOKUP(F224,Action_Templates!$A:$Q,15,FALSE),""))</f>
        <v/>
      </c>
      <c r="AE224">
        <f>IF(O224="","",IF(OR(O224&lt;&gt;"Closed",AND(P224="YES",T224="Accepted")),"OK","BLOCKED"))</f>
        <v/>
      </c>
      <c r="AF224">
        <f>IF(OR(AC224="",R224=""),"",IF(ISNUMBER(SEARCH(AC224,R224)),"OK","CHECK"))</f>
        <v/>
      </c>
    </row>
    <row r="225">
      <c r="W225">
        <f>IF(AND(O225="Closed",AE225="OK"),TODAY(),"")</f>
        <v/>
      </c>
      <c r="AB225">
        <f>IF(F225="","",IFERROR(VLOOKUP(F225,Action_Templates!$A:$Q,13,FALSE),""))</f>
        <v/>
      </c>
      <c r="AC225">
        <f>IF(F225="","",IFERROR(VLOOKUP(F225,Action_Templates!$A:$Q,14,FALSE),""))</f>
        <v/>
      </c>
      <c r="AD225">
        <f>IF(F225="","",IFERROR(VLOOKUP(F225,Action_Templates!$A:$Q,15,FALSE),""))</f>
        <v/>
      </c>
      <c r="AE225">
        <f>IF(O225="","",IF(OR(O225&lt;&gt;"Closed",AND(P225="YES",T225="Accepted")),"OK","BLOCKED"))</f>
        <v/>
      </c>
      <c r="AF225">
        <f>IF(OR(AC225="",R225=""),"",IF(ISNUMBER(SEARCH(AC225,R225)),"OK","CHECK"))</f>
        <v/>
      </c>
    </row>
    <row r="226">
      <c r="W226">
        <f>IF(AND(O226="Closed",AE226="OK"),TODAY(),"")</f>
        <v/>
      </c>
      <c r="AB226">
        <f>IF(F226="","",IFERROR(VLOOKUP(F226,Action_Templates!$A:$Q,13,FALSE),""))</f>
        <v/>
      </c>
      <c r="AC226">
        <f>IF(F226="","",IFERROR(VLOOKUP(F226,Action_Templates!$A:$Q,14,FALSE),""))</f>
        <v/>
      </c>
      <c r="AD226">
        <f>IF(F226="","",IFERROR(VLOOKUP(F226,Action_Templates!$A:$Q,15,FALSE),""))</f>
        <v/>
      </c>
      <c r="AE226">
        <f>IF(O226="","",IF(OR(O226&lt;&gt;"Closed",AND(P226="YES",T226="Accepted")),"OK","BLOCKED"))</f>
        <v/>
      </c>
      <c r="AF226">
        <f>IF(OR(AC226="",R226=""),"",IF(ISNUMBER(SEARCH(AC226,R226)),"OK","CHECK"))</f>
        <v/>
      </c>
    </row>
    <row r="227">
      <c r="W227">
        <f>IF(AND(O227="Closed",AE227="OK"),TODAY(),"")</f>
        <v/>
      </c>
      <c r="AB227">
        <f>IF(F227="","",IFERROR(VLOOKUP(F227,Action_Templates!$A:$Q,13,FALSE),""))</f>
        <v/>
      </c>
      <c r="AC227">
        <f>IF(F227="","",IFERROR(VLOOKUP(F227,Action_Templates!$A:$Q,14,FALSE),""))</f>
        <v/>
      </c>
      <c r="AD227">
        <f>IF(F227="","",IFERROR(VLOOKUP(F227,Action_Templates!$A:$Q,15,FALSE),""))</f>
        <v/>
      </c>
      <c r="AE227">
        <f>IF(O227="","",IF(OR(O227&lt;&gt;"Closed",AND(P227="YES",T227="Accepted")),"OK","BLOCKED"))</f>
        <v/>
      </c>
      <c r="AF227">
        <f>IF(OR(AC227="",R227=""),"",IF(ISNUMBER(SEARCH(AC227,R227)),"OK","CHECK"))</f>
        <v/>
      </c>
    </row>
    <row r="228">
      <c r="W228">
        <f>IF(AND(O228="Closed",AE228="OK"),TODAY(),"")</f>
        <v/>
      </c>
      <c r="AB228">
        <f>IF(F228="","",IFERROR(VLOOKUP(F228,Action_Templates!$A:$Q,13,FALSE),""))</f>
        <v/>
      </c>
      <c r="AC228">
        <f>IF(F228="","",IFERROR(VLOOKUP(F228,Action_Templates!$A:$Q,14,FALSE),""))</f>
        <v/>
      </c>
      <c r="AD228">
        <f>IF(F228="","",IFERROR(VLOOKUP(F228,Action_Templates!$A:$Q,15,FALSE),""))</f>
        <v/>
      </c>
      <c r="AE228">
        <f>IF(O228="","",IF(OR(O228&lt;&gt;"Closed",AND(P228="YES",T228="Accepted")),"OK","BLOCKED"))</f>
        <v/>
      </c>
      <c r="AF228">
        <f>IF(OR(AC228="",R228=""),"",IF(ISNUMBER(SEARCH(AC228,R228)),"OK","CHECK"))</f>
        <v/>
      </c>
    </row>
    <row r="229">
      <c r="W229">
        <f>IF(AND(O229="Closed",AE229="OK"),TODAY(),"")</f>
        <v/>
      </c>
      <c r="AB229">
        <f>IF(F229="","",IFERROR(VLOOKUP(F229,Action_Templates!$A:$Q,13,FALSE),""))</f>
        <v/>
      </c>
      <c r="AC229">
        <f>IF(F229="","",IFERROR(VLOOKUP(F229,Action_Templates!$A:$Q,14,FALSE),""))</f>
        <v/>
      </c>
      <c r="AD229">
        <f>IF(F229="","",IFERROR(VLOOKUP(F229,Action_Templates!$A:$Q,15,FALSE),""))</f>
        <v/>
      </c>
      <c r="AE229">
        <f>IF(O229="","",IF(OR(O229&lt;&gt;"Closed",AND(P229="YES",T229="Accepted")),"OK","BLOCKED"))</f>
        <v/>
      </c>
      <c r="AF229">
        <f>IF(OR(AC229="",R229=""),"",IF(ISNUMBER(SEARCH(AC229,R229)),"OK","CHECK"))</f>
        <v/>
      </c>
    </row>
    <row r="230">
      <c r="W230">
        <f>IF(AND(O230="Closed",AE230="OK"),TODAY(),"")</f>
        <v/>
      </c>
      <c r="AB230">
        <f>IF(F230="","",IFERROR(VLOOKUP(F230,Action_Templates!$A:$Q,13,FALSE),""))</f>
        <v/>
      </c>
      <c r="AC230">
        <f>IF(F230="","",IFERROR(VLOOKUP(F230,Action_Templates!$A:$Q,14,FALSE),""))</f>
        <v/>
      </c>
      <c r="AD230">
        <f>IF(F230="","",IFERROR(VLOOKUP(F230,Action_Templates!$A:$Q,15,FALSE),""))</f>
        <v/>
      </c>
      <c r="AE230">
        <f>IF(O230="","",IF(OR(O230&lt;&gt;"Closed",AND(P230="YES",T230="Accepted")),"OK","BLOCKED"))</f>
        <v/>
      </c>
      <c r="AF230">
        <f>IF(OR(AC230="",R230=""),"",IF(ISNUMBER(SEARCH(AC230,R230)),"OK","CHECK"))</f>
        <v/>
      </c>
    </row>
    <row r="231">
      <c r="W231">
        <f>IF(AND(O231="Closed",AE231="OK"),TODAY(),"")</f>
        <v/>
      </c>
      <c r="AB231">
        <f>IF(F231="","",IFERROR(VLOOKUP(F231,Action_Templates!$A:$Q,13,FALSE),""))</f>
        <v/>
      </c>
      <c r="AC231">
        <f>IF(F231="","",IFERROR(VLOOKUP(F231,Action_Templates!$A:$Q,14,FALSE),""))</f>
        <v/>
      </c>
      <c r="AD231">
        <f>IF(F231="","",IFERROR(VLOOKUP(F231,Action_Templates!$A:$Q,15,FALSE),""))</f>
        <v/>
      </c>
      <c r="AE231">
        <f>IF(O231="","",IF(OR(O231&lt;&gt;"Closed",AND(P231="YES",T231="Accepted")),"OK","BLOCKED"))</f>
        <v/>
      </c>
      <c r="AF231">
        <f>IF(OR(AC231="",R231=""),"",IF(ISNUMBER(SEARCH(AC231,R231)),"OK","CHECK"))</f>
        <v/>
      </c>
    </row>
    <row r="232">
      <c r="W232">
        <f>IF(AND(O232="Closed",AE232="OK"),TODAY(),"")</f>
        <v/>
      </c>
      <c r="AB232">
        <f>IF(F232="","",IFERROR(VLOOKUP(F232,Action_Templates!$A:$Q,13,FALSE),""))</f>
        <v/>
      </c>
      <c r="AC232">
        <f>IF(F232="","",IFERROR(VLOOKUP(F232,Action_Templates!$A:$Q,14,FALSE),""))</f>
        <v/>
      </c>
      <c r="AD232">
        <f>IF(F232="","",IFERROR(VLOOKUP(F232,Action_Templates!$A:$Q,15,FALSE),""))</f>
        <v/>
      </c>
      <c r="AE232">
        <f>IF(O232="","",IF(OR(O232&lt;&gt;"Closed",AND(P232="YES",T232="Accepted")),"OK","BLOCKED"))</f>
        <v/>
      </c>
      <c r="AF232">
        <f>IF(OR(AC232="",R232=""),"",IF(ISNUMBER(SEARCH(AC232,R232)),"OK","CHECK"))</f>
        <v/>
      </c>
    </row>
    <row r="233">
      <c r="W233">
        <f>IF(AND(O233="Closed",AE233="OK"),TODAY(),"")</f>
        <v/>
      </c>
      <c r="AB233">
        <f>IF(F233="","",IFERROR(VLOOKUP(F233,Action_Templates!$A:$Q,13,FALSE),""))</f>
        <v/>
      </c>
      <c r="AC233">
        <f>IF(F233="","",IFERROR(VLOOKUP(F233,Action_Templates!$A:$Q,14,FALSE),""))</f>
        <v/>
      </c>
      <c r="AD233">
        <f>IF(F233="","",IFERROR(VLOOKUP(F233,Action_Templates!$A:$Q,15,FALSE),""))</f>
        <v/>
      </c>
      <c r="AE233">
        <f>IF(O233="","",IF(OR(O233&lt;&gt;"Closed",AND(P233="YES",T233="Accepted")),"OK","BLOCKED"))</f>
        <v/>
      </c>
      <c r="AF233">
        <f>IF(OR(AC233="",R233=""),"",IF(ISNUMBER(SEARCH(AC233,R233)),"OK","CHECK"))</f>
        <v/>
      </c>
    </row>
    <row r="234">
      <c r="W234">
        <f>IF(AND(O234="Closed",AE234="OK"),TODAY(),"")</f>
        <v/>
      </c>
      <c r="AB234">
        <f>IF(F234="","",IFERROR(VLOOKUP(F234,Action_Templates!$A:$Q,13,FALSE),""))</f>
        <v/>
      </c>
      <c r="AC234">
        <f>IF(F234="","",IFERROR(VLOOKUP(F234,Action_Templates!$A:$Q,14,FALSE),""))</f>
        <v/>
      </c>
      <c r="AD234">
        <f>IF(F234="","",IFERROR(VLOOKUP(F234,Action_Templates!$A:$Q,15,FALSE),""))</f>
        <v/>
      </c>
      <c r="AE234">
        <f>IF(O234="","",IF(OR(O234&lt;&gt;"Closed",AND(P234="YES",T234="Accepted")),"OK","BLOCKED"))</f>
        <v/>
      </c>
      <c r="AF234">
        <f>IF(OR(AC234="",R234=""),"",IF(ISNUMBER(SEARCH(AC234,R234)),"OK","CHECK"))</f>
        <v/>
      </c>
    </row>
    <row r="235">
      <c r="W235">
        <f>IF(AND(O235="Closed",AE235="OK"),TODAY(),"")</f>
        <v/>
      </c>
      <c r="AB235">
        <f>IF(F235="","",IFERROR(VLOOKUP(F235,Action_Templates!$A:$Q,13,FALSE),""))</f>
        <v/>
      </c>
      <c r="AC235">
        <f>IF(F235="","",IFERROR(VLOOKUP(F235,Action_Templates!$A:$Q,14,FALSE),""))</f>
        <v/>
      </c>
      <c r="AD235">
        <f>IF(F235="","",IFERROR(VLOOKUP(F235,Action_Templates!$A:$Q,15,FALSE),""))</f>
        <v/>
      </c>
      <c r="AE235">
        <f>IF(O235="","",IF(OR(O235&lt;&gt;"Closed",AND(P235="YES",T235="Accepted")),"OK","BLOCKED"))</f>
        <v/>
      </c>
      <c r="AF235">
        <f>IF(OR(AC235="",R235=""),"",IF(ISNUMBER(SEARCH(AC235,R235)),"OK","CHECK"))</f>
        <v/>
      </c>
    </row>
    <row r="236">
      <c r="W236">
        <f>IF(AND(O236="Closed",AE236="OK"),TODAY(),"")</f>
        <v/>
      </c>
      <c r="AB236">
        <f>IF(F236="","",IFERROR(VLOOKUP(F236,Action_Templates!$A:$Q,13,FALSE),""))</f>
        <v/>
      </c>
      <c r="AC236">
        <f>IF(F236="","",IFERROR(VLOOKUP(F236,Action_Templates!$A:$Q,14,FALSE),""))</f>
        <v/>
      </c>
      <c r="AD236">
        <f>IF(F236="","",IFERROR(VLOOKUP(F236,Action_Templates!$A:$Q,15,FALSE),""))</f>
        <v/>
      </c>
      <c r="AE236">
        <f>IF(O236="","",IF(OR(O236&lt;&gt;"Closed",AND(P236="YES",T236="Accepted")),"OK","BLOCKED"))</f>
        <v/>
      </c>
      <c r="AF236">
        <f>IF(OR(AC236="",R236=""),"",IF(ISNUMBER(SEARCH(AC236,R236)),"OK","CHECK"))</f>
        <v/>
      </c>
    </row>
    <row r="237">
      <c r="W237">
        <f>IF(AND(O237="Closed",AE237="OK"),TODAY(),"")</f>
        <v/>
      </c>
      <c r="AB237">
        <f>IF(F237="","",IFERROR(VLOOKUP(F237,Action_Templates!$A:$Q,13,FALSE),""))</f>
        <v/>
      </c>
      <c r="AC237">
        <f>IF(F237="","",IFERROR(VLOOKUP(F237,Action_Templates!$A:$Q,14,FALSE),""))</f>
        <v/>
      </c>
      <c r="AD237">
        <f>IF(F237="","",IFERROR(VLOOKUP(F237,Action_Templates!$A:$Q,15,FALSE),""))</f>
        <v/>
      </c>
      <c r="AE237">
        <f>IF(O237="","",IF(OR(O237&lt;&gt;"Closed",AND(P237="YES",T237="Accepted")),"OK","BLOCKED"))</f>
        <v/>
      </c>
      <c r="AF237">
        <f>IF(OR(AC237="",R237=""),"",IF(ISNUMBER(SEARCH(AC237,R237)),"OK","CHECK"))</f>
        <v/>
      </c>
    </row>
    <row r="238">
      <c r="W238">
        <f>IF(AND(O238="Closed",AE238="OK"),TODAY(),"")</f>
        <v/>
      </c>
      <c r="AB238">
        <f>IF(F238="","",IFERROR(VLOOKUP(F238,Action_Templates!$A:$Q,13,FALSE),""))</f>
        <v/>
      </c>
      <c r="AC238">
        <f>IF(F238="","",IFERROR(VLOOKUP(F238,Action_Templates!$A:$Q,14,FALSE),""))</f>
        <v/>
      </c>
      <c r="AD238">
        <f>IF(F238="","",IFERROR(VLOOKUP(F238,Action_Templates!$A:$Q,15,FALSE),""))</f>
        <v/>
      </c>
      <c r="AE238">
        <f>IF(O238="","",IF(OR(O238&lt;&gt;"Closed",AND(P238="YES",T238="Accepted")),"OK","BLOCKED"))</f>
        <v/>
      </c>
      <c r="AF238">
        <f>IF(OR(AC238="",R238=""),"",IF(ISNUMBER(SEARCH(AC238,R238)),"OK","CHECK"))</f>
        <v/>
      </c>
    </row>
    <row r="239">
      <c r="W239">
        <f>IF(AND(O239="Closed",AE239="OK"),TODAY(),"")</f>
        <v/>
      </c>
      <c r="AB239">
        <f>IF(F239="","",IFERROR(VLOOKUP(F239,Action_Templates!$A:$Q,13,FALSE),""))</f>
        <v/>
      </c>
      <c r="AC239">
        <f>IF(F239="","",IFERROR(VLOOKUP(F239,Action_Templates!$A:$Q,14,FALSE),""))</f>
        <v/>
      </c>
      <c r="AD239">
        <f>IF(F239="","",IFERROR(VLOOKUP(F239,Action_Templates!$A:$Q,15,FALSE),""))</f>
        <v/>
      </c>
      <c r="AE239">
        <f>IF(O239="","",IF(OR(O239&lt;&gt;"Closed",AND(P239="YES",T239="Accepted")),"OK","BLOCKED"))</f>
        <v/>
      </c>
      <c r="AF239">
        <f>IF(OR(AC239="",R239=""),"",IF(ISNUMBER(SEARCH(AC239,R239)),"OK","CHECK"))</f>
        <v/>
      </c>
    </row>
    <row r="240">
      <c r="W240">
        <f>IF(AND(O240="Closed",AE240="OK"),TODAY(),"")</f>
        <v/>
      </c>
      <c r="AB240">
        <f>IF(F240="","",IFERROR(VLOOKUP(F240,Action_Templates!$A:$Q,13,FALSE),""))</f>
        <v/>
      </c>
      <c r="AC240">
        <f>IF(F240="","",IFERROR(VLOOKUP(F240,Action_Templates!$A:$Q,14,FALSE),""))</f>
        <v/>
      </c>
      <c r="AD240">
        <f>IF(F240="","",IFERROR(VLOOKUP(F240,Action_Templates!$A:$Q,15,FALSE),""))</f>
        <v/>
      </c>
      <c r="AE240">
        <f>IF(O240="","",IF(OR(O240&lt;&gt;"Closed",AND(P240="YES",T240="Accepted")),"OK","BLOCKED"))</f>
        <v/>
      </c>
      <c r="AF240">
        <f>IF(OR(AC240="",R240=""),"",IF(ISNUMBER(SEARCH(AC240,R240)),"OK","CHECK"))</f>
        <v/>
      </c>
    </row>
    <row r="241">
      <c r="W241">
        <f>IF(AND(O241="Closed",AE241="OK"),TODAY(),"")</f>
        <v/>
      </c>
      <c r="AB241">
        <f>IF(F241="","",IFERROR(VLOOKUP(F241,Action_Templates!$A:$Q,13,FALSE),""))</f>
        <v/>
      </c>
      <c r="AC241">
        <f>IF(F241="","",IFERROR(VLOOKUP(F241,Action_Templates!$A:$Q,14,FALSE),""))</f>
        <v/>
      </c>
      <c r="AD241">
        <f>IF(F241="","",IFERROR(VLOOKUP(F241,Action_Templates!$A:$Q,15,FALSE),""))</f>
        <v/>
      </c>
      <c r="AE241">
        <f>IF(O241="","",IF(OR(O241&lt;&gt;"Closed",AND(P241="YES",T241="Accepted")),"OK","BLOCKED"))</f>
        <v/>
      </c>
      <c r="AF241">
        <f>IF(OR(AC241="",R241=""),"",IF(ISNUMBER(SEARCH(AC241,R241)),"OK","CHECK"))</f>
        <v/>
      </c>
    </row>
    <row r="242">
      <c r="W242">
        <f>IF(AND(O242="Closed",AE242="OK"),TODAY(),"")</f>
        <v/>
      </c>
      <c r="AB242">
        <f>IF(F242="","",IFERROR(VLOOKUP(F242,Action_Templates!$A:$Q,13,FALSE),""))</f>
        <v/>
      </c>
      <c r="AC242">
        <f>IF(F242="","",IFERROR(VLOOKUP(F242,Action_Templates!$A:$Q,14,FALSE),""))</f>
        <v/>
      </c>
      <c r="AD242">
        <f>IF(F242="","",IFERROR(VLOOKUP(F242,Action_Templates!$A:$Q,15,FALSE),""))</f>
        <v/>
      </c>
      <c r="AE242">
        <f>IF(O242="","",IF(OR(O242&lt;&gt;"Closed",AND(P242="YES",T242="Accepted")),"OK","BLOCKED"))</f>
        <v/>
      </c>
      <c r="AF242">
        <f>IF(OR(AC242="",R242=""),"",IF(ISNUMBER(SEARCH(AC242,R242)),"OK","CHECK"))</f>
        <v/>
      </c>
    </row>
    <row r="243">
      <c r="W243">
        <f>IF(AND(O243="Closed",AE243="OK"),TODAY(),"")</f>
        <v/>
      </c>
      <c r="AB243">
        <f>IF(F243="","",IFERROR(VLOOKUP(F243,Action_Templates!$A:$Q,13,FALSE),""))</f>
        <v/>
      </c>
      <c r="AC243">
        <f>IF(F243="","",IFERROR(VLOOKUP(F243,Action_Templates!$A:$Q,14,FALSE),""))</f>
        <v/>
      </c>
      <c r="AD243">
        <f>IF(F243="","",IFERROR(VLOOKUP(F243,Action_Templates!$A:$Q,15,FALSE),""))</f>
        <v/>
      </c>
      <c r="AE243">
        <f>IF(O243="","",IF(OR(O243&lt;&gt;"Closed",AND(P243="YES",T243="Accepted")),"OK","BLOCKED"))</f>
        <v/>
      </c>
      <c r="AF243">
        <f>IF(OR(AC243="",R243=""),"",IF(ISNUMBER(SEARCH(AC243,R243)),"OK","CHECK"))</f>
        <v/>
      </c>
    </row>
    <row r="244">
      <c r="W244">
        <f>IF(AND(O244="Closed",AE244="OK"),TODAY(),"")</f>
        <v/>
      </c>
      <c r="AB244">
        <f>IF(F244="","",IFERROR(VLOOKUP(F244,Action_Templates!$A:$Q,13,FALSE),""))</f>
        <v/>
      </c>
      <c r="AC244">
        <f>IF(F244="","",IFERROR(VLOOKUP(F244,Action_Templates!$A:$Q,14,FALSE),""))</f>
        <v/>
      </c>
      <c r="AD244">
        <f>IF(F244="","",IFERROR(VLOOKUP(F244,Action_Templates!$A:$Q,15,FALSE),""))</f>
        <v/>
      </c>
      <c r="AE244">
        <f>IF(O244="","",IF(OR(O244&lt;&gt;"Closed",AND(P244="YES",T244="Accepted")),"OK","BLOCKED"))</f>
        <v/>
      </c>
      <c r="AF244">
        <f>IF(OR(AC244="",R244=""),"",IF(ISNUMBER(SEARCH(AC244,R244)),"OK","CHECK"))</f>
        <v/>
      </c>
    </row>
    <row r="245">
      <c r="W245">
        <f>IF(AND(O245="Closed",AE245="OK"),TODAY(),"")</f>
        <v/>
      </c>
      <c r="AB245">
        <f>IF(F245="","",IFERROR(VLOOKUP(F245,Action_Templates!$A:$Q,13,FALSE),""))</f>
        <v/>
      </c>
      <c r="AC245">
        <f>IF(F245="","",IFERROR(VLOOKUP(F245,Action_Templates!$A:$Q,14,FALSE),""))</f>
        <v/>
      </c>
      <c r="AD245">
        <f>IF(F245="","",IFERROR(VLOOKUP(F245,Action_Templates!$A:$Q,15,FALSE),""))</f>
        <v/>
      </c>
      <c r="AE245">
        <f>IF(O245="","",IF(OR(O245&lt;&gt;"Closed",AND(P245="YES",T245="Accepted")),"OK","BLOCKED"))</f>
        <v/>
      </c>
      <c r="AF245">
        <f>IF(OR(AC245="",R245=""),"",IF(ISNUMBER(SEARCH(AC245,R245)),"OK","CHECK"))</f>
        <v/>
      </c>
    </row>
    <row r="246">
      <c r="W246">
        <f>IF(AND(O246="Closed",AE246="OK"),TODAY(),"")</f>
        <v/>
      </c>
      <c r="AB246">
        <f>IF(F246="","",IFERROR(VLOOKUP(F246,Action_Templates!$A:$Q,13,FALSE),""))</f>
        <v/>
      </c>
      <c r="AC246">
        <f>IF(F246="","",IFERROR(VLOOKUP(F246,Action_Templates!$A:$Q,14,FALSE),""))</f>
        <v/>
      </c>
      <c r="AD246">
        <f>IF(F246="","",IFERROR(VLOOKUP(F246,Action_Templates!$A:$Q,15,FALSE),""))</f>
        <v/>
      </c>
      <c r="AE246">
        <f>IF(O246="","",IF(OR(O246&lt;&gt;"Closed",AND(P246="YES",T246="Accepted")),"OK","BLOCKED"))</f>
        <v/>
      </c>
      <c r="AF246">
        <f>IF(OR(AC246="",R246=""),"",IF(ISNUMBER(SEARCH(AC246,R246)),"OK","CHECK"))</f>
        <v/>
      </c>
    </row>
    <row r="247">
      <c r="W247">
        <f>IF(AND(O247="Closed",AE247="OK"),TODAY(),"")</f>
        <v/>
      </c>
      <c r="AB247">
        <f>IF(F247="","",IFERROR(VLOOKUP(F247,Action_Templates!$A:$Q,13,FALSE),""))</f>
        <v/>
      </c>
      <c r="AC247">
        <f>IF(F247="","",IFERROR(VLOOKUP(F247,Action_Templates!$A:$Q,14,FALSE),""))</f>
        <v/>
      </c>
      <c r="AD247">
        <f>IF(F247="","",IFERROR(VLOOKUP(F247,Action_Templates!$A:$Q,15,FALSE),""))</f>
        <v/>
      </c>
      <c r="AE247">
        <f>IF(O247="","",IF(OR(O247&lt;&gt;"Closed",AND(P247="YES",T247="Accepted")),"OK","BLOCKED"))</f>
        <v/>
      </c>
      <c r="AF247">
        <f>IF(OR(AC247="",R247=""),"",IF(ISNUMBER(SEARCH(AC247,R247)),"OK","CHECK"))</f>
        <v/>
      </c>
    </row>
    <row r="248">
      <c r="W248">
        <f>IF(AND(O248="Closed",AE248="OK"),TODAY(),"")</f>
        <v/>
      </c>
      <c r="AB248">
        <f>IF(F248="","",IFERROR(VLOOKUP(F248,Action_Templates!$A:$Q,13,FALSE),""))</f>
        <v/>
      </c>
      <c r="AC248">
        <f>IF(F248="","",IFERROR(VLOOKUP(F248,Action_Templates!$A:$Q,14,FALSE),""))</f>
        <v/>
      </c>
      <c r="AD248">
        <f>IF(F248="","",IFERROR(VLOOKUP(F248,Action_Templates!$A:$Q,15,FALSE),""))</f>
        <v/>
      </c>
      <c r="AE248">
        <f>IF(O248="","",IF(OR(O248&lt;&gt;"Closed",AND(P248="YES",T248="Accepted")),"OK","BLOCKED"))</f>
        <v/>
      </c>
      <c r="AF248">
        <f>IF(OR(AC248="",R248=""),"",IF(ISNUMBER(SEARCH(AC248,R248)),"OK","CHECK"))</f>
        <v/>
      </c>
    </row>
    <row r="249">
      <c r="W249">
        <f>IF(AND(O249="Closed",AE249="OK"),TODAY(),"")</f>
        <v/>
      </c>
      <c r="AB249">
        <f>IF(F249="","",IFERROR(VLOOKUP(F249,Action_Templates!$A:$Q,13,FALSE),""))</f>
        <v/>
      </c>
      <c r="AC249">
        <f>IF(F249="","",IFERROR(VLOOKUP(F249,Action_Templates!$A:$Q,14,FALSE),""))</f>
        <v/>
      </c>
      <c r="AD249">
        <f>IF(F249="","",IFERROR(VLOOKUP(F249,Action_Templates!$A:$Q,15,FALSE),""))</f>
        <v/>
      </c>
      <c r="AE249">
        <f>IF(O249="","",IF(OR(O249&lt;&gt;"Closed",AND(P249="YES",T249="Accepted")),"OK","BLOCKED"))</f>
        <v/>
      </c>
      <c r="AF249">
        <f>IF(OR(AC249="",R249=""),"",IF(ISNUMBER(SEARCH(AC249,R249)),"OK","CHECK"))</f>
        <v/>
      </c>
    </row>
    <row r="250">
      <c r="W250">
        <f>IF(AND(O250="Closed",AE250="OK"),TODAY(),"")</f>
        <v/>
      </c>
      <c r="AB250">
        <f>IF(F250="","",IFERROR(VLOOKUP(F250,Action_Templates!$A:$Q,13,FALSE),""))</f>
        <v/>
      </c>
      <c r="AC250">
        <f>IF(F250="","",IFERROR(VLOOKUP(F250,Action_Templates!$A:$Q,14,FALSE),""))</f>
        <v/>
      </c>
      <c r="AD250">
        <f>IF(F250="","",IFERROR(VLOOKUP(F250,Action_Templates!$A:$Q,15,FALSE),""))</f>
        <v/>
      </c>
      <c r="AE250">
        <f>IF(O250="","",IF(OR(O250&lt;&gt;"Closed",AND(P250="YES",T250="Accepted")),"OK","BLOCKED"))</f>
        <v/>
      </c>
      <c r="AF250">
        <f>IF(OR(AC250="",R250=""),"",IF(ISNUMBER(SEARCH(AC250,R250)),"OK","CHECK"))</f>
        <v/>
      </c>
    </row>
    <row r="251">
      <c r="W251">
        <f>IF(AND(O251="Closed",AE251="OK"),TODAY(),"")</f>
        <v/>
      </c>
      <c r="AB251">
        <f>IF(F251="","",IFERROR(VLOOKUP(F251,Action_Templates!$A:$Q,13,FALSE),""))</f>
        <v/>
      </c>
      <c r="AC251">
        <f>IF(F251="","",IFERROR(VLOOKUP(F251,Action_Templates!$A:$Q,14,FALSE),""))</f>
        <v/>
      </c>
      <c r="AD251">
        <f>IF(F251="","",IFERROR(VLOOKUP(F251,Action_Templates!$A:$Q,15,FALSE),""))</f>
        <v/>
      </c>
      <c r="AE251">
        <f>IF(O251="","",IF(OR(O251&lt;&gt;"Closed",AND(P251="YES",T251="Accepted")),"OK","BLOCKED"))</f>
        <v/>
      </c>
      <c r="AF251">
        <f>IF(OR(AC251="",R251=""),"",IF(ISNUMBER(SEARCH(AC251,R251)),"OK","CHECK"))</f>
        <v/>
      </c>
    </row>
    <row r="252">
      <c r="W252">
        <f>IF(AND(O252="Closed",AE252="OK"),TODAY(),"")</f>
        <v/>
      </c>
      <c r="AB252">
        <f>IF(F252="","",IFERROR(VLOOKUP(F252,Action_Templates!$A:$Q,13,FALSE),""))</f>
        <v/>
      </c>
      <c r="AC252">
        <f>IF(F252="","",IFERROR(VLOOKUP(F252,Action_Templates!$A:$Q,14,FALSE),""))</f>
        <v/>
      </c>
      <c r="AD252">
        <f>IF(F252="","",IFERROR(VLOOKUP(F252,Action_Templates!$A:$Q,15,FALSE),""))</f>
        <v/>
      </c>
      <c r="AE252">
        <f>IF(O252="","",IF(OR(O252&lt;&gt;"Closed",AND(P252="YES",T252="Accepted")),"OK","BLOCKED"))</f>
        <v/>
      </c>
      <c r="AF252">
        <f>IF(OR(AC252="",R252=""),"",IF(ISNUMBER(SEARCH(AC252,R252)),"OK","CHECK"))</f>
        <v/>
      </c>
    </row>
    <row r="253">
      <c r="W253">
        <f>IF(AND(O253="Closed",AE253="OK"),TODAY(),"")</f>
        <v/>
      </c>
      <c r="AB253">
        <f>IF(F253="","",IFERROR(VLOOKUP(F253,Action_Templates!$A:$Q,13,FALSE),""))</f>
        <v/>
      </c>
      <c r="AC253">
        <f>IF(F253="","",IFERROR(VLOOKUP(F253,Action_Templates!$A:$Q,14,FALSE),""))</f>
        <v/>
      </c>
      <c r="AD253">
        <f>IF(F253="","",IFERROR(VLOOKUP(F253,Action_Templates!$A:$Q,15,FALSE),""))</f>
        <v/>
      </c>
      <c r="AE253">
        <f>IF(O253="","",IF(OR(O253&lt;&gt;"Closed",AND(P253="YES",T253="Accepted")),"OK","BLOCKED"))</f>
        <v/>
      </c>
      <c r="AF253">
        <f>IF(OR(AC253="",R253=""),"",IF(ISNUMBER(SEARCH(AC253,R253)),"OK","CHECK"))</f>
        <v/>
      </c>
    </row>
    <row r="254">
      <c r="W254">
        <f>IF(AND(O254="Closed",AE254="OK"),TODAY(),"")</f>
        <v/>
      </c>
      <c r="AB254">
        <f>IF(F254="","",IFERROR(VLOOKUP(F254,Action_Templates!$A:$Q,13,FALSE),""))</f>
        <v/>
      </c>
      <c r="AC254">
        <f>IF(F254="","",IFERROR(VLOOKUP(F254,Action_Templates!$A:$Q,14,FALSE),""))</f>
        <v/>
      </c>
      <c r="AD254">
        <f>IF(F254="","",IFERROR(VLOOKUP(F254,Action_Templates!$A:$Q,15,FALSE),""))</f>
        <v/>
      </c>
      <c r="AE254">
        <f>IF(O254="","",IF(OR(O254&lt;&gt;"Closed",AND(P254="YES",T254="Accepted")),"OK","BLOCKED"))</f>
        <v/>
      </c>
      <c r="AF254">
        <f>IF(OR(AC254="",R254=""),"",IF(ISNUMBER(SEARCH(AC254,R254)),"OK","CHECK"))</f>
        <v/>
      </c>
    </row>
    <row r="255">
      <c r="W255">
        <f>IF(AND(O255="Closed",AE255="OK"),TODAY(),"")</f>
        <v/>
      </c>
      <c r="AB255">
        <f>IF(F255="","",IFERROR(VLOOKUP(F255,Action_Templates!$A:$Q,13,FALSE),""))</f>
        <v/>
      </c>
      <c r="AC255">
        <f>IF(F255="","",IFERROR(VLOOKUP(F255,Action_Templates!$A:$Q,14,FALSE),""))</f>
        <v/>
      </c>
      <c r="AD255">
        <f>IF(F255="","",IFERROR(VLOOKUP(F255,Action_Templates!$A:$Q,15,FALSE),""))</f>
        <v/>
      </c>
      <c r="AE255">
        <f>IF(O255="","",IF(OR(O255&lt;&gt;"Closed",AND(P255="YES",T255="Accepted")),"OK","BLOCKED"))</f>
        <v/>
      </c>
      <c r="AF255">
        <f>IF(OR(AC255="",R255=""),"",IF(ISNUMBER(SEARCH(AC255,R255)),"OK","CHECK"))</f>
        <v/>
      </c>
    </row>
    <row r="256">
      <c r="W256">
        <f>IF(AND(O256="Closed",AE256="OK"),TODAY(),"")</f>
        <v/>
      </c>
      <c r="AB256">
        <f>IF(F256="","",IFERROR(VLOOKUP(F256,Action_Templates!$A:$Q,13,FALSE),""))</f>
        <v/>
      </c>
      <c r="AC256">
        <f>IF(F256="","",IFERROR(VLOOKUP(F256,Action_Templates!$A:$Q,14,FALSE),""))</f>
        <v/>
      </c>
      <c r="AD256">
        <f>IF(F256="","",IFERROR(VLOOKUP(F256,Action_Templates!$A:$Q,15,FALSE),""))</f>
        <v/>
      </c>
      <c r="AE256">
        <f>IF(O256="","",IF(OR(O256&lt;&gt;"Closed",AND(P256="YES",T256="Accepted")),"OK","BLOCKED"))</f>
        <v/>
      </c>
      <c r="AF256">
        <f>IF(OR(AC256="",R256=""),"",IF(ISNUMBER(SEARCH(AC256,R256)),"OK","CHECK"))</f>
        <v/>
      </c>
    </row>
    <row r="257">
      <c r="W257">
        <f>IF(AND(O257="Closed",AE257="OK"),TODAY(),"")</f>
        <v/>
      </c>
      <c r="AB257">
        <f>IF(F257="","",IFERROR(VLOOKUP(F257,Action_Templates!$A:$Q,13,FALSE),""))</f>
        <v/>
      </c>
      <c r="AC257">
        <f>IF(F257="","",IFERROR(VLOOKUP(F257,Action_Templates!$A:$Q,14,FALSE),""))</f>
        <v/>
      </c>
      <c r="AD257">
        <f>IF(F257="","",IFERROR(VLOOKUP(F257,Action_Templates!$A:$Q,15,FALSE),""))</f>
        <v/>
      </c>
      <c r="AE257">
        <f>IF(O257="","",IF(OR(O257&lt;&gt;"Closed",AND(P257="YES",T257="Accepted")),"OK","BLOCKED"))</f>
        <v/>
      </c>
      <c r="AF257">
        <f>IF(OR(AC257="",R257=""),"",IF(ISNUMBER(SEARCH(AC257,R257)),"OK","CHECK"))</f>
        <v/>
      </c>
    </row>
    <row r="258">
      <c r="W258">
        <f>IF(AND(O258="Closed",AE258="OK"),TODAY(),"")</f>
        <v/>
      </c>
      <c r="AB258">
        <f>IF(F258="","",IFERROR(VLOOKUP(F258,Action_Templates!$A:$Q,13,FALSE),""))</f>
        <v/>
      </c>
      <c r="AC258">
        <f>IF(F258="","",IFERROR(VLOOKUP(F258,Action_Templates!$A:$Q,14,FALSE),""))</f>
        <v/>
      </c>
      <c r="AD258">
        <f>IF(F258="","",IFERROR(VLOOKUP(F258,Action_Templates!$A:$Q,15,FALSE),""))</f>
        <v/>
      </c>
      <c r="AE258">
        <f>IF(O258="","",IF(OR(O258&lt;&gt;"Closed",AND(P258="YES",T258="Accepted")),"OK","BLOCKED"))</f>
        <v/>
      </c>
      <c r="AF258">
        <f>IF(OR(AC258="",R258=""),"",IF(ISNUMBER(SEARCH(AC258,R258)),"OK","CHECK"))</f>
        <v/>
      </c>
    </row>
    <row r="259">
      <c r="W259">
        <f>IF(AND(O259="Closed",AE259="OK"),TODAY(),"")</f>
        <v/>
      </c>
      <c r="AB259">
        <f>IF(F259="","",IFERROR(VLOOKUP(F259,Action_Templates!$A:$Q,13,FALSE),""))</f>
        <v/>
      </c>
      <c r="AC259">
        <f>IF(F259="","",IFERROR(VLOOKUP(F259,Action_Templates!$A:$Q,14,FALSE),""))</f>
        <v/>
      </c>
      <c r="AD259">
        <f>IF(F259="","",IFERROR(VLOOKUP(F259,Action_Templates!$A:$Q,15,FALSE),""))</f>
        <v/>
      </c>
      <c r="AE259">
        <f>IF(O259="","",IF(OR(O259&lt;&gt;"Closed",AND(P259="YES",T259="Accepted")),"OK","BLOCKED"))</f>
        <v/>
      </c>
      <c r="AF259">
        <f>IF(OR(AC259="",R259=""),"",IF(ISNUMBER(SEARCH(AC259,R259)),"OK","CHECK"))</f>
        <v/>
      </c>
    </row>
    <row r="260">
      <c r="W260">
        <f>IF(AND(O260="Closed",AE260="OK"),TODAY(),"")</f>
        <v/>
      </c>
      <c r="AB260">
        <f>IF(F260="","",IFERROR(VLOOKUP(F260,Action_Templates!$A:$Q,13,FALSE),""))</f>
        <v/>
      </c>
      <c r="AC260">
        <f>IF(F260="","",IFERROR(VLOOKUP(F260,Action_Templates!$A:$Q,14,FALSE),""))</f>
        <v/>
      </c>
      <c r="AD260">
        <f>IF(F260="","",IFERROR(VLOOKUP(F260,Action_Templates!$A:$Q,15,FALSE),""))</f>
        <v/>
      </c>
      <c r="AE260">
        <f>IF(O260="","",IF(OR(O260&lt;&gt;"Closed",AND(P260="YES",T260="Accepted")),"OK","BLOCKED"))</f>
        <v/>
      </c>
      <c r="AF260">
        <f>IF(OR(AC260="",R260=""),"",IF(ISNUMBER(SEARCH(AC260,R260)),"OK","CHECK"))</f>
        <v/>
      </c>
    </row>
    <row r="261">
      <c r="W261">
        <f>IF(AND(O261="Closed",AE261="OK"),TODAY(),"")</f>
        <v/>
      </c>
      <c r="AB261">
        <f>IF(F261="","",IFERROR(VLOOKUP(F261,Action_Templates!$A:$Q,13,FALSE),""))</f>
        <v/>
      </c>
      <c r="AC261">
        <f>IF(F261="","",IFERROR(VLOOKUP(F261,Action_Templates!$A:$Q,14,FALSE),""))</f>
        <v/>
      </c>
      <c r="AD261">
        <f>IF(F261="","",IFERROR(VLOOKUP(F261,Action_Templates!$A:$Q,15,FALSE),""))</f>
        <v/>
      </c>
      <c r="AE261">
        <f>IF(O261="","",IF(OR(O261&lt;&gt;"Closed",AND(P261="YES",T261="Accepted")),"OK","BLOCKED"))</f>
        <v/>
      </c>
      <c r="AF261">
        <f>IF(OR(AC261="",R261=""),"",IF(ISNUMBER(SEARCH(AC261,R261)),"OK","CHECK"))</f>
        <v/>
      </c>
    </row>
    <row r="262">
      <c r="W262">
        <f>IF(AND(O262="Closed",AE262="OK"),TODAY(),"")</f>
        <v/>
      </c>
      <c r="AB262">
        <f>IF(F262="","",IFERROR(VLOOKUP(F262,Action_Templates!$A:$Q,13,FALSE),""))</f>
        <v/>
      </c>
      <c r="AC262">
        <f>IF(F262="","",IFERROR(VLOOKUP(F262,Action_Templates!$A:$Q,14,FALSE),""))</f>
        <v/>
      </c>
      <c r="AD262">
        <f>IF(F262="","",IFERROR(VLOOKUP(F262,Action_Templates!$A:$Q,15,FALSE),""))</f>
        <v/>
      </c>
      <c r="AE262">
        <f>IF(O262="","",IF(OR(O262&lt;&gt;"Closed",AND(P262="YES",T262="Accepted")),"OK","BLOCKED"))</f>
        <v/>
      </c>
      <c r="AF262">
        <f>IF(OR(AC262="",R262=""),"",IF(ISNUMBER(SEARCH(AC262,R262)),"OK","CHECK"))</f>
        <v/>
      </c>
    </row>
    <row r="263">
      <c r="W263">
        <f>IF(AND(O263="Closed",AE263="OK"),TODAY(),"")</f>
        <v/>
      </c>
      <c r="AB263">
        <f>IF(F263="","",IFERROR(VLOOKUP(F263,Action_Templates!$A:$Q,13,FALSE),""))</f>
        <v/>
      </c>
      <c r="AC263">
        <f>IF(F263="","",IFERROR(VLOOKUP(F263,Action_Templates!$A:$Q,14,FALSE),""))</f>
        <v/>
      </c>
      <c r="AD263">
        <f>IF(F263="","",IFERROR(VLOOKUP(F263,Action_Templates!$A:$Q,15,FALSE),""))</f>
        <v/>
      </c>
      <c r="AE263">
        <f>IF(O263="","",IF(OR(O263&lt;&gt;"Closed",AND(P263="YES",T263="Accepted")),"OK","BLOCKED"))</f>
        <v/>
      </c>
      <c r="AF263">
        <f>IF(OR(AC263="",R263=""),"",IF(ISNUMBER(SEARCH(AC263,R263)),"OK","CHECK"))</f>
        <v/>
      </c>
    </row>
    <row r="264">
      <c r="W264">
        <f>IF(AND(O264="Closed",AE264="OK"),TODAY(),"")</f>
        <v/>
      </c>
      <c r="AB264">
        <f>IF(F264="","",IFERROR(VLOOKUP(F264,Action_Templates!$A:$Q,13,FALSE),""))</f>
        <v/>
      </c>
      <c r="AC264">
        <f>IF(F264="","",IFERROR(VLOOKUP(F264,Action_Templates!$A:$Q,14,FALSE),""))</f>
        <v/>
      </c>
      <c r="AD264">
        <f>IF(F264="","",IFERROR(VLOOKUP(F264,Action_Templates!$A:$Q,15,FALSE),""))</f>
        <v/>
      </c>
      <c r="AE264">
        <f>IF(O264="","",IF(OR(O264&lt;&gt;"Closed",AND(P264="YES",T264="Accepted")),"OK","BLOCKED"))</f>
        <v/>
      </c>
      <c r="AF264">
        <f>IF(OR(AC264="",R264=""),"",IF(ISNUMBER(SEARCH(AC264,R264)),"OK","CHECK"))</f>
        <v/>
      </c>
    </row>
    <row r="265">
      <c r="W265">
        <f>IF(AND(O265="Closed",AE265="OK"),TODAY(),"")</f>
        <v/>
      </c>
      <c r="AB265">
        <f>IF(F265="","",IFERROR(VLOOKUP(F265,Action_Templates!$A:$Q,13,FALSE),""))</f>
        <v/>
      </c>
      <c r="AC265">
        <f>IF(F265="","",IFERROR(VLOOKUP(F265,Action_Templates!$A:$Q,14,FALSE),""))</f>
        <v/>
      </c>
      <c r="AD265">
        <f>IF(F265="","",IFERROR(VLOOKUP(F265,Action_Templates!$A:$Q,15,FALSE),""))</f>
        <v/>
      </c>
      <c r="AE265">
        <f>IF(O265="","",IF(OR(O265&lt;&gt;"Closed",AND(P265="YES",T265="Accepted")),"OK","BLOCKED"))</f>
        <v/>
      </c>
      <c r="AF265">
        <f>IF(OR(AC265="",R265=""),"",IF(ISNUMBER(SEARCH(AC265,R265)),"OK","CHECK"))</f>
        <v/>
      </c>
    </row>
    <row r="266">
      <c r="W266">
        <f>IF(AND(O266="Closed",AE266="OK"),TODAY(),"")</f>
        <v/>
      </c>
      <c r="AB266">
        <f>IF(F266="","",IFERROR(VLOOKUP(F266,Action_Templates!$A:$Q,13,FALSE),""))</f>
        <v/>
      </c>
      <c r="AC266">
        <f>IF(F266="","",IFERROR(VLOOKUP(F266,Action_Templates!$A:$Q,14,FALSE),""))</f>
        <v/>
      </c>
      <c r="AD266">
        <f>IF(F266="","",IFERROR(VLOOKUP(F266,Action_Templates!$A:$Q,15,FALSE),""))</f>
        <v/>
      </c>
      <c r="AE266">
        <f>IF(O266="","",IF(OR(O266&lt;&gt;"Closed",AND(P266="YES",T266="Accepted")),"OK","BLOCKED"))</f>
        <v/>
      </c>
      <c r="AF266">
        <f>IF(OR(AC266="",R266=""),"",IF(ISNUMBER(SEARCH(AC266,R266)),"OK","CHECK"))</f>
        <v/>
      </c>
    </row>
    <row r="267">
      <c r="W267">
        <f>IF(AND(O267="Closed",AE267="OK"),TODAY(),"")</f>
        <v/>
      </c>
      <c r="AB267">
        <f>IF(F267="","",IFERROR(VLOOKUP(F267,Action_Templates!$A:$Q,13,FALSE),""))</f>
        <v/>
      </c>
      <c r="AC267">
        <f>IF(F267="","",IFERROR(VLOOKUP(F267,Action_Templates!$A:$Q,14,FALSE),""))</f>
        <v/>
      </c>
      <c r="AD267">
        <f>IF(F267="","",IFERROR(VLOOKUP(F267,Action_Templates!$A:$Q,15,FALSE),""))</f>
        <v/>
      </c>
      <c r="AE267">
        <f>IF(O267="","",IF(OR(O267&lt;&gt;"Closed",AND(P267="YES",T267="Accepted")),"OK","BLOCKED"))</f>
        <v/>
      </c>
      <c r="AF267">
        <f>IF(OR(AC267="",R267=""),"",IF(ISNUMBER(SEARCH(AC267,R267)),"OK","CHECK"))</f>
        <v/>
      </c>
    </row>
    <row r="268">
      <c r="W268">
        <f>IF(AND(O268="Closed",AE268="OK"),TODAY(),"")</f>
        <v/>
      </c>
      <c r="AB268">
        <f>IF(F268="","",IFERROR(VLOOKUP(F268,Action_Templates!$A:$Q,13,FALSE),""))</f>
        <v/>
      </c>
      <c r="AC268">
        <f>IF(F268="","",IFERROR(VLOOKUP(F268,Action_Templates!$A:$Q,14,FALSE),""))</f>
        <v/>
      </c>
      <c r="AD268">
        <f>IF(F268="","",IFERROR(VLOOKUP(F268,Action_Templates!$A:$Q,15,FALSE),""))</f>
        <v/>
      </c>
      <c r="AE268">
        <f>IF(O268="","",IF(OR(O268&lt;&gt;"Closed",AND(P268="YES",T268="Accepted")),"OK","BLOCKED"))</f>
        <v/>
      </c>
      <c r="AF268">
        <f>IF(OR(AC268="",R268=""),"",IF(ISNUMBER(SEARCH(AC268,R268)),"OK","CHECK"))</f>
        <v/>
      </c>
    </row>
    <row r="269">
      <c r="W269">
        <f>IF(AND(O269="Closed",AE269="OK"),TODAY(),"")</f>
        <v/>
      </c>
      <c r="AB269">
        <f>IF(F269="","",IFERROR(VLOOKUP(F269,Action_Templates!$A:$Q,13,FALSE),""))</f>
        <v/>
      </c>
      <c r="AC269">
        <f>IF(F269="","",IFERROR(VLOOKUP(F269,Action_Templates!$A:$Q,14,FALSE),""))</f>
        <v/>
      </c>
      <c r="AD269">
        <f>IF(F269="","",IFERROR(VLOOKUP(F269,Action_Templates!$A:$Q,15,FALSE),""))</f>
        <v/>
      </c>
      <c r="AE269">
        <f>IF(O269="","",IF(OR(O269&lt;&gt;"Closed",AND(P269="YES",T269="Accepted")),"OK","BLOCKED"))</f>
        <v/>
      </c>
      <c r="AF269">
        <f>IF(OR(AC269="",R269=""),"",IF(ISNUMBER(SEARCH(AC269,R269)),"OK","CHECK"))</f>
        <v/>
      </c>
    </row>
    <row r="270">
      <c r="W270">
        <f>IF(AND(O270="Closed",AE270="OK"),TODAY(),"")</f>
        <v/>
      </c>
      <c r="AB270">
        <f>IF(F270="","",IFERROR(VLOOKUP(F270,Action_Templates!$A:$Q,13,FALSE),""))</f>
        <v/>
      </c>
      <c r="AC270">
        <f>IF(F270="","",IFERROR(VLOOKUP(F270,Action_Templates!$A:$Q,14,FALSE),""))</f>
        <v/>
      </c>
      <c r="AD270">
        <f>IF(F270="","",IFERROR(VLOOKUP(F270,Action_Templates!$A:$Q,15,FALSE),""))</f>
        <v/>
      </c>
      <c r="AE270">
        <f>IF(O270="","",IF(OR(O270&lt;&gt;"Closed",AND(P270="YES",T270="Accepted")),"OK","BLOCKED"))</f>
        <v/>
      </c>
      <c r="AF270">
        <f>IF(OR(AC270="",R270=""),"",IF(ISNUMBER(SEARCH(AC270,R270)),"OK","CHECK"))</f>
        <v/>
      </c>
    </row>
    <row r="271">
      <c r="W271">
        <f>IF(AND(O271="Closed",AE271="OK"),TODAY(),"")</f>
        <v/>
      </c>
      <c r="AB271">
        <f>IF(F271="","",IFERROR(VLOOKUP(F271,Action_Templates!$A:$Q,13,FALSE),""))</f>
        <v/>
      </c>
      <c r="AC271">
        <f>IF(F271="","",IFERROR(VLOOKUP(F271,Action_Templates!$A:$Q,14,FALSE),""))</f>
        <v/>
      </c>
      <c r="AD271">
        <f>IF(F271="","",IFERROR(VLOOKUP(F271,Action_Templates!$A:$Q,15,FALSE),""))</f>
        <v/>
      </c>
      <c r="AE271">
        <f>IF(O271="","",IF(OR(O271&lt;&gt;"Closed",AND(P271="YES",T271="Accepted")),"OK","BLOCKED"))</f>
        <v/>
      </c>
      <c r="AF271">
        <f>IF(OR(AC271="",R271=""),"",IF(ISNUMBER(SEARCH(AC271,R271)),"OK","CHECK"))</f>
        <v/>
      </c>
    </row>
    <row r="272">
      <c r="W272">
        <f>IF(AND(O272="Closed",AE272="OK"),TODAY(),"")</f>
        <v/>
      </c>
      <c r="AB272">
        <f>IF(F272="","",IFERROR(VLOOKUP(F272,Action_Templates!$A:$Q,13,FALSE),""))</f>
        <v/>
      </c>
      <c r="AC272">
        <f>IF(F272="","",IFERROR(VLOOKUP(F272,Action_Templates!$A:$Q,14,FALSE),""))</f>
        <v/>
      </c>
      <c r="AD272">
        <f>IF(F272="","",IFERROR(VLOOKUP(F272,Action_Templates!$A:$Q,15,FALSE),""))</f>
        <v/>
      </c>
      <c r="AE272">
        <f>IF(O272="","",IF(OR(O272&lt;&gt;"Closed",AND(P272="YES",T272="Accepted")),"OK","BLOCKED"))</f>
        <v/>
      </c>
      <c r="AF272">
        <f>IF(OR(AC272="",R272=""),"",IF(ISNUMBER(SEARCH(AC272,R272)),"OK","CHECK"))</f>
        <v/>
      </c>
    </row>
    <row r="273">
      <c r="W273">
        <f>IF(AND(O273="Closed",AE273="OK"),TODAY(),"")</f>
        <v/>
      </c>
      <c r="AB273">
        <f>IF(F273="","",IFERROR(VLOOKUP(F273,Action_Templates!$A:$Q,13,FALSE),""))</f>
        <v/>
      </c>
      <c r="AC273">
        <f>IF(F273="","",IFERROR(VLOOKUP(F273,Action_Templates!$A:$Q,14,FALSE),""))</f>
        <v/>
      </c>
      <c r="AD273">
        <f>IF(F273="","",IFERROR(VLOOKUP(F273,Action_Templates!$A:$Q,15,FALSE),""))</f>
        <v/>
      </c>
      <c r="AE273">
        <f>IF(O273="","",IF(OR(O273&lt;&gt;"Closed",AND(P273="YES",T273="Accepted")),"OK","BLOCKED"))</f>
        <v/>
      </c>
      <c r="AF273">
        <f>IF(OR(AC273="",R273=""),"",IF(ISNUMBER(SEARCH(AC273,R273)),"OK","CHECK"))</f>
        <v/>
      </c>
    </row>
    <row r="274">
      <c r="W274">
        <f>IF(AND(O274="Closed",AE274="OK"),TODAY(),"")</f>
        <v/>
      </c>
      <c r="AB274">
        <f>IF(F274="","",IFERROR(VLOOKUP(F274,Action_Templates!$A:$Q,13,FALSE),""))</f>
        <v/>
      </c>
      <c r="AC274">
        <f>IF(F274="","",IFERROR(VLOOKUP(F274,Action_Templates!$A:$Q,14,FALSE),""))</f>
        <v/>
      </c>
      <c r="AD274">
        <f>IF(F274="","",IFERROR(VLOOKUP(F274,Action_Templates!$A:$Q,15,FALSE),""))</f>
        <v/>
      </c>
      <c r="AE274">
        <f>IF(O274="","",IF(OR(O274&lt;&gt;"Closed",AND(P274="YES",T274="Accepted")),"OK","BLOCKED"))</f>
        <v/>
      </c>
      <c r="AF274">
        <f>IF(OR(AC274="",R274=""),"",IF(ISNUMBER(SEARCH(AC274,R274)),"OK","CHECK"))</f>
        <v/>
      </c>
    </row>
    <row r="275">
      <c r="W275">
        <f>IF(AND(O275="Closed",AE275="OK"),TODAY(),"")</f>
        <v/>
      </c>
      <c r="AB275">
        <f>IF(F275="","",IFERROR(VLOOKUP(F275,Action_Templates!$A:$Q,13,FALSE),""))</f>
        <v/>
      </c>
      <c r="AC275">
        <f>IF(F275="","",IFERROR(VLOOKUP(F275,Action_Templates!$A:$Q,14,FALSE),""))</f>
        <v/>
      </c>
      <c r="AD275">
        <f>IF(F275="","",IFERROR(VLOOKUP(F275,Action_Templates!$A:$Q,15,FALSE),""))</f>
        <v/>
      </c>
      <c r="AE275">
        <f>IF(O275="","",IF(OR(O275&lt;&gt;"Closed",AND(P275="YES",T275="Accepted")),"OK","BLOCKED"))</f>
        <v/>
      </c>
      <c r="AF275">
        <f>IF(OR(AC275="",R275=""),"",IF(ISNUMBER(SEARCH(AC275,R275)),"OK","CHECK"))</f>
        <v/>
      </c>
    </row>
    <row r="276">
      <c r="W276">
        <f>IF(AND(O276="Closed",AE276="OK"),TODAY(),"")</f>
        <v/>
      </c>
      <c r="AB276">
        <f>IF(F276="","",IFERROR(VLOOKUP(F276,Action_Templates!$A:$Q,13,FALSE),""))</f>
        <v/>
      </c>
      <c r="AC276">
        <f>IF(F276="","",IFERROR(VLOOKUP(F276,Action_Templates!$A:$Q,14,FALSE),""))</f>
        <v/>
      </c>
      <c r="AD276">
        <f>IF(F276="","",IFERROR(VLOOKUP(F276,Action_Templates!$A:$Q,15,FALSE),""))</f>
        <v/>
      </c>
      <c r="AE276">
        <f>IF(O276="","",IF(OR(O276&lt;&gt;"Closed",AND(P276="YES",T276="Accepted")),"OK","BLOCKED"))</f>
        <v/>
      </c>
      <c r="AF276">
        <f>IF(OR(AC276="",R276=""),"",IF(ISNUMBER(SEARCH(AC276,R276)),"OK","CHECK"))</f>
        <v/>
      </c>
    </row>
    <row r="277">
      <c r="W277">
        <f>IF(AND(O277="Closed",AE277="OK"),TODAY(),"")</f>
        <v/>
      </c>
      <c r="AB277">
        <f>IF(F277="","",IFERROR(VLOOKUP(F277,Action_Templates!$A:$Q,13,FALSE),""))</f>
        <v/>
      </c>
      <c r="AC277">
        <f>IF(F277="","",IFERROR(VLOOKUP(F277,Action_Templates!$A:$Q,14,FALSE),""))</f>
        <v/>
      </c>
      <c r="AD277">
        <f>IF(F277="","",IFERROR(VLOOKUP(F277,Action_Templates!$A:$Q,15,FALSE),""))</f>
        <v/>
      </c>
      <c r="AE277">
        <f>IF(O277="","",IF(OR(O277&lt;&gt;"Closed",AND(P277="YES",T277="Accepted")),"OK","BLOCKED"))</f>
        <v/>
      </c>
      <c r="AF277">
        <f>IF(OR(AC277="",R277=""),"",IF(ISNUMBER(SEARCH(AC277,R277)),"OK","CHECK"))</f>
        <v/>
      </c>
    </row>
    <row r="278">
      <c r="W278">
        <f>IF(AND(O278="Closed",AE278="OK"),TODAY(),"")</f>
        <v/>
      </c>
      <c r="AB278">
        <f>IF(F278="","",IFERROR(VLOOKUP(F278,Action_Templates!$A:$Q,13,FALSE),""))</f>
        <v/>
      </c>
      <c r="AC278">
        <f>IF(F278="","",IFERROR(VLOOKUP(F278,Action_Templates!$A:$Q,14,FALSE),""))</f>
        <v/>
      </c>
      <c r="AD278">
        <f>IF(F278="","",IFERROR(VLOOKUP(F278,Action_Templates!$A:$Q,15,FALSE),""))</f>
        <v/>
      </c>
      <c r="AE278">
        <f>IF(O278="","",IF(OR(O278&lt;&gt;"Closed",AND(P278="YES",T278="Accepted")),"OK","BLOCKED"))</f>
        <v/>
      </c>
      <c r="AF278">
        <f>IF(OR(AC278="",R278=""),"",IF(ISNUMBER(SEARCH(AC278,R278)),"OK","CHECK"))</f>
        <v/>
      </c>
    </row>
    <row r="279">
      <c r="W279">
        <f>IF(AND(O279="Closed",AE279="OK"),TODAY(),"")</f>
        <v/>
      </c>
      <c r="AB279">
        <f>IF(F279="","",IFERROR(VLOOKUP(F279,Action_Templates!$A:$Q,13,FALSE),""))</f>
        <v/>
      </c>
      <c r="AC279">
        <f>IF(F279="","",IFERROR(VLOOKUP(F279,Action_Templates!$A:$Q,14,FALSE),""))</f>
        <v/>
      </c>
      <c r="AD279">
        <f>IF(F279="","",IFERROR(VLOOKUP(F279,Action_Templates!$A:$Q,15,FALSE),""))</f>
        <v/>
      </c>
      <c r="AE279">
        <f>IF(O279="","",IF(OR(O279&lt;&gt;"Closed",AND(P279="YES",T279="Accepted")),"OK","BLOCKED"))</f>
        <v/>
      </c>
      <c r="AF279">
        <f>IF(OR(AC279="",R279=""),"",IF(ISNUMBER(SEARCH(AC279,R279)),"OK","CHECK"))</f>
        <v/>
      </c>
    </row>
    <row r="280">
      <c r="W280">
        <f>IF(AND(O280="Closed",AE280="OK"),TODAY(),"")</f>
        <v/>
      </c>
      <c r="AB280">
        <f>IF(F280="","",IFERROR(VLOOKUP(F280,Action_Templates!$A:$Q,13,FALSE),""))</f>
        <v/>
      </c>
      <c r="AC280">
        <f>IF(F280="","",IFERROR(VLOOKUP(F280,Action_Templates!$A:$Q,14,FALSE),""))</f>
        <v/>
      </c>
      <c r="AD280">
        <f>IF(F280="","",IFERROR(VLOOKUP(F280,Action_Templates!$A:$Q,15,FALSE),""))</f>
        <v/>
      </c>
      <c r="AE280">
        <f>IF(O280="","",IF(OR(O280&lt;&gt;"Closed",AND(P280="YES",T280="Accepted")),"OK","BLOCKED"))</f>
        <v/>
      </c>
      <c r="AF280">
        <f>IF(OR(AC280="",R280=""),"",IF(ISNUMBER(SEARCH(AC280,R280)),"OK","CHECK"))</f>
        <v/>
      </c>
    </row>
    <row r="281">
      <c r="W281">
        <f>IF(AND(O281="Closed",AE281="OK"),TODAY(),"")</f>
        <v/>
      </c>
      <c r="AB281">
        <f>IF(F281="","",IFERROR(VLOOKUP(F281,Action_Templates!$A:$Q,13,FALSE),""))</f>
        <v/>
      </c>
      <c r="AC281">
        <f>IF(F281="","",IFERROR(VLOOKUP(F281,Action_Templates!$A:$Q,14,FALSE),""))</f>
        <v/>
      </c>
      <c r="AD281">
        <f>IF(F281="","",IFERROR(VLOOKUP(F281,Action_Templates!$A:$Q,15,FALSE),""))</f>
        <v/>
      </c>
      <c r="AE281">
        <f>IF(O281="","",IF(OR(O281&lt;&gt;"Closed",AND(P281="YES",T281="Accepted")),"OK","BLOCKED"))</f>
        <v/>
      </c>
      <c r="AF281">
        <f>IF(OR(AC281="",R281=""),"",IF(ISNUMBER(SEARCH(AC281,R281)),"OK","CHECK"))</f>
        <v/>
      </c>
    </row>
    <row r="282">
      <c r="W282">
        <f>IF(AND(O282="Closed",AE282="OK"),TODAY(),"")</f>
        <v/>
      </c>
      <c r="AB282">
        <f>IF(F282="","",IFERROR(VLOOKUP(F282,Action_Templates!$A:$Q,13,FALSE),""))</f>
        <v/>
      </c>
      <c r="AC282">
        <f>IF(F282="","",IFERROR(VLOOKUP(F282,Action_Templates!$A:$Q,14,FALSE),""))</f>
        <v/>
      </c>
      <c r="AD282">
        <f>IF(F282="","",IFERROR(VLOOKUP(F282,Action_Templates!$A:$Q,15,FALSE),""))</f>
        <v/>
      </c>
      <c r="AE282">
        <f>IF(O282="","",IF(OR(O282&lt;&gt;"Closed",AND(P282="YES",T282="Accepted")),"OK","BLOCKED"))</f>
        <v/>
      </c>
      <c r="AF282">
        <f>IF(OR(AC282="",R282=""),"",IF(ISNUMBER(SEARCH(AC282,R282)),"OK","CHECK"))</f>
        <v/>
      </c>
    </row>
    <row r="283">
      <c r="W283">
        <f>IF(AND(O283="Closed",AE283="OK"),TODAY(),"")</f>
        <v/>
      </c>
      <c r="AB283">
        <f>IF(F283="","",IFERROR(VLOOKUP(F283,Action_Templates!$A:$Q,13,FALSE),""))</f>
        <v/>
      </c>
      <c r="AC283">
        <f>IF(F283="","",IFERROR(VLOOKUP(F283,Action_Templates!$A:$Q,14,FALSE),""))</f>
        <v/>
      </c>
      <c r="AD283">
        <f>IF(F283="","",IFERROR(VLOOKUP(F283,Action_Templates!$A:$Q,15,FALSE),""))</f>
        <v/>
      </c>
      <c r="AE283">
        <f>IF(O283="","",IF(OR(O283&lt;&gt;"Closed",AND(P283="YES",T283="Accepted")),"OK","BLOCKED"))</f>
        <v/>
      </c>
      <c r="AF283">
        <f>IF(OR(AC283="",R283=""),"",IF(ISNUMBER(SEARCH(AC283,R283)),"OK","CHECK"))</f>
        <v/>
      </c>
    </row>
    <row r="284">
      <c r="W284">
        <f>IF(AND(O284="Closed",AE284="OK"),TODAY(),"")</f>
        <v/>
      </c>
      <c r="AB284">
        <f>IF(F284="","",IFERROR(VLOOKUP(F284,Action_Templates!$A:$Q,13,FALSE),""))</f>
        <v/>
      </c>
      <c r="AC284">
        <f>IF(F284="","",IFERROR(VLOOKUP(F284,Action_Templates!$A:$Q,14,FALSE),""))</f>
        <v/>
      </c>
      <c r="AD284">
        <f>IF(F284="","",IFERROR(VLOOKUP(F284,Action_Templates!$A:$Q,15,FALSE),""))</f>
        <v/>
      </c>
      <c r="AE284">
        <f>IF(O284="","",IF(OR(O284&lt;&gt;"Closed",AND(P284="YES",T284="Accepted")),"OK","BLOCKED"))</f>
        <v/>
      </c>
      <c r="AF284">
        <f>IF(OR(AC284="",R284=""),"",IF(ISNUMBER(SEARCH(AC284,R284)),"OK","CHECK"))</f>
        <v/>
      </c>
    </row>
    <row r="285">
      <c r="W285">
        <f>IF(AND(O285="Closed",AE285="OK"),TODAY(),"")</f>
        <v/>
      </c>
      <c r="AB285">
        <f>IF(F285="","",IFERROR(VLOOKUP(F285,Action_Templates!$A:$Q,13,FALSE),""))</f>
        <v/>
      </c>
      <c r="AC285">
        <f>IF(F285="","",IFERROR(VLOOKUP(F285,Action_Templates!$A:$Q,14,FALSE),""))</f>
        <v/>
      </c>
      <c r="AD285">
        <f>IF(F285="","",IFERROR(VLOOKUP(F285,Action_Templates!$A:$Q,15,FALSE),""))</f>
        <v/>
      </c>
      <c r="AE285">
        <f>IF(O285="","",IF(OR(O285&lt;&gt;"Closed",AND(P285="YES",T285="Accepted")),"OK","BLOCKED"))</f>
        <v/>
      </c>
      <c r="AF285">
        <f>IF(OR(AC285="",R285=""),"",IF(ISNUMBER(SEARCH(AC285,R285)),"OK","CHECK"))</f>
        <v/>
      </c>
    </row>
    <row r="286">
      <c r="W286">
        <f>IF(AND(O286="Closed",AE286="OK"),TODAY(),"")</f>
        <v/>
      </c>
      <c r="AB286">
        <f>IF(F286="","",IFERROR(VLOOKUP(F286,Action_Templates!$A:$Q,13,FALSE),""))</f>
        <v/>
      </c>
      <c r="AC286">
        <f>IF(F286="","",IFERROR(VLOOKUP(F286,Action_Templates!$A:$Q,14,FALSE),""))</f>
        <v/>
      </c>
      <c r="AD286">
        <f>IF(F286="","",IFERROR(VLOOKUP(F286,Action_Templates!$A:$Q,15,FALSE),""))</f>
        <v/>
      </c>
      <c r="AE286">
        <f>IF(O286="","",IF(OR(O286&lt;&gt;"Closed",AND(P286="YES",T286="Accepted")),"OK","BLOCKED"))</f>
        <v/>
      </c>
      <c r="AF286">
        <f>IF(OR(AC286="",R286=""),"",IF(ISNUMBER(SEARCH(AC286,R286)),"OK","CHECK"))</f>
        <v/>
      </c>
    </row>
    <row r="287">
      <c r="W287">
        <f>IF(AND(O287="Closed",AE287="OK"),TODAY(),"")</f>
        <v/>
      </c>
      <c r="AB287">
        <f>IF(F287="","",IFERROR(VLOOKUP(F287,Action_Templates!$A:$Q,13,FALSE),""))</f>
        <v/>
      </c>
      <c r="AC287">
        <f>IF(F287="","",IFERROR(VLOOKUP(F287,Action_Templates!$A:$Q,14,FALSE),""))</f>
        <v/>
      </c>
      <c r="AD287">
        <f>IF(F287="","",IFERROR(VLOOKUP(F287,Action_Templates!$A:$Q,15,FALSE),""))</f>
        <v/>
      </c>
      <c r="AE287">
        <f>IF(O287="","",IF(OR(O287&lt;&gt;"Closed",AND(P287="YES",T287="Accepted")),"OK","BLOCKED"))</f>
        <v/>
      </c>
      <c r="AF287">
        <f>IF(OR(AC287="",R287=""),"",IF(ISNUMBER(SEARCH(AC287,R287)),"OK","CHECK"))</f>
        <v/>
      </c>
    </row>
    <row r="288">
      <c r="W288">
        <f>IF(AND(O288="Closed",AE288="OK"),TODAY(),"")</f>
        <v/>
      </c>
      <c r="AB288">
        <f>IF(F288="","",IFERROR(VLOOKUP(F288,Action_Templates!$A:$Q,13,FALSE),""))</f>
        <v/>
      </c>
      <c r="AC288">
        <f>IF(F288="","",IFERROR(VLOOKUP(F288,Action_Templates!$A:$Q,14,FALSE),""))</f>
        <v/>
      </c>
      <c r="AD288">
        <f>IF(F288="","",IFERROR(VLOOKUP(F288,Action_Templates!$A:$Q,15,FALSE),""))</f>
        <v/>
      </c>
      <c r="AE288">
        <f>IF(O288="","",IF(OR(O288&lt;&gt;"Closed",AND(P288="YES",T288="Accepted")),"OK","BLOCKED"))</f>
        <v/>
      </c>
      <c r="AF288">
        <f>IF(OR(AC288="",R288=""),"",IF(ISNUMBER(SEARCH(AC288,R288)),"OK","CHECK"))</f>
        <v/>
      </c>
    </row>
    <row r="289">
      <c r="W289">
        <f>IF(AND(O289="Closed",AE289="OK"),TODAY(),"")</f>
        <v/>
      </c>
      <c r="AB289">
        <f>IF(F289="","",IFERROR(VLOOKUP(F289,Action_Templates!$A:$Q,13,FALSE),""))</f>
        <v/>
      </c>
      <c r="AC289">
        <f>IF(F289="","",IFERROR(VLOOKUP(F289,Action_Templates!$A:$Q,14,FALSE),""))</f>
        <v/>
      </c>
      <c r="AD289">
        <f>IF(F289="","",IFERROR(VLOOKUP(F289,Action_Templates!$A:$Q,15,FALSE),""))</f>
        <v/>
      </c>
      <c r="AE289">
        <f>IF(O289="","",IF(OR(O289&lt;&gt;"Closed",AND(P289="YES",T289="Accepted")),"OK","BLOCKED"))</f>
        <v/>
      </c>
      <c r="AF289">
        <f>IF(OR(AC289="",R289=""),"",IF(ISNUMBER(SEARCH(AC289,R289)),"OK","CHECK"))</f>
        <v/>
      </c>
    </row>
    <row r="290">
      <c r="W290">
        <f>IF(AND(O290="Closed",AE290="OK"),TODAY(),"")</f>
        <v/>
      </c>
      <c r="AB290">
        <f>IF(F290="","",IFERROR(VLOOKUP(F290,Action_Templates!$A:$Q,13,FALSE),""))</f>
        <v/>
      </c>
      <c r="AC290">
        <f>IF(F290="","",IFERROR(VLOOKUP(F290,Action_Templates!$A:$Q,14,FALSE),""))</f>
        <v/>
      </c>
      <c r="AD290">
        <f>IF(F290="","",IFERROR(VLOOKUP(F290,Action_Templates!$A:$Q,15,FALSE),""))</f>
        <v/>
      </c>
      <c r="AE290">
        <f>IF(O290="","",IF(OR(O290&lt;&gt;"Closed",AND(P290="YES",T290="Accepted")),"OK","BLOCKED"))</f>
        <v/>
      </c>
      <c r="AF290">
        <f>IF(OR(AC290="",R290=""),"",IF(ISNUMBER(SEARCH(AC290,R290)),"OK","CHECK"))</f>
        <v/>
      </c>
    </row>
    <row r="291">
      <c r="W291">
        <f>IF(AND(O291="Closed",AE291="OK"),TODAY(),"")</f>
        <v/>
      </c>
      <c r="AB291">
        <f>IF(F291="","",IFERROR(VLOOKUP(F291,Action_Templates!$A:$Q,13,FALSE),""))</f>
        <v/>
      </c>
      <c r="AC291">
        <f>IF(F291="","",IFERROR(VLOOKUP(F291,Action_Templates!$A:$Q,14,FALSE),""))</f>
        <v/>
      </c>
      <c r="AD291">
        <f>IF(F291="","",IFERROR(VLOOKUP(F291,Action_Templates!$A:$Q,15,FALSE),""))</f>
        <v/>
      </c>
      <c r="AE291">
        <f>IF(O291="","",IF(OR(O291&lt;&gt;"Closed",AND(P291="YES",T291="Accepted")),"OK","BLOCKED"))</f>
        <v/>
      </c>
      <c r="AF291">
        <f>IF(OR(AC291="",R291=""),"",IF(ISNUMBER(SEARCH(AC291,R291)),"OK","CHECK"))</f>
        <v/>
      </c>
    </row>
    <row r="292">
      <c r="W292">
        <f>IF(AND(O292="Closed",AE292="OK"),TODAY(),"")</f>
        <v/>
      </c>
      <c r="AB292">
        <f>IF(F292="","",IFERROR(VLOOKUP(F292,Action_Templates!$A:$Q,13,FALSE),""))</f>
        <v/>
      </c>
      <c r="AC292">
        <f>IF(F292="","",IFERROR(VLOOKUP(F292,Action_Templates!$A:$Q,14,FALSE),""))</f>
        <v/>
      </c>
      <c r="AD292">
        <f>IF(F292="","",IFERROR(VLOOKUP(F292,Action_Templates!$A:$Q,15,FALSE),""))</f>
        <v/>
      </c>
      <c r="AE292">
        <f>IF(O292="","",IF(OR(O292&lt;&gt;"Closed",AND(P292="YES",T292="Accepted")),"OK","BLOCKED"))</f>
        <v/>
      </c>
      <c r="AF292">
        <f>IF(OR(AC292="",R292=""),"",IF(ISNUMBER(SEARCH(AC292,R292)),"OK","CHECK"))</f>
        <v/>
      </c>
    </row>
    <row r="293">
      <c r="W293">
        <f>IF(AND(O293="Closed",AE293="OK"),TODAY(),"")</f>
        <v/>
      </c>
      <c r="AB293">
        <f>IF(F293="","",IFERROR(VLOOKUP(F293,Action_Templates!$A:$Q,13,FALSE),""))</f>
        <v/>
      </c>
      <c r="AC293">
        <f>IF(F293="","",IFERROR(VLOOKUP(F293,Action_Templates!$A:$Q,14,FALSE),""))</f>
        <v/>
      </c>
      <c r="AD293">
        <f>IF(F293="","",IFERROR(VLOOKUP(F293,Action_Templates!$A:$Q,15,FALSE),""))</f>
        <v/>
      </c>
      <c r="AE293">
        <f>IF(O293="","",IF(OR(O293&lt;&gt;"Closed",AND(P293="YES",T293="Accepted")),"OK","BLOCKED"))</f>
        <v/>
      </c>
      <c r="AF293">
        <f>IF(OR(AC293="",R293=""),"",IF(ISNUMBER(SEARCH(AC293,R293)),"OK","CHECK"))</f>
        <v/>
      </c>
    </row>
    <row r="294">
      <c r="W294">
        <f>IF(AND(O294="Closed",AE294="OK"),TODAY(),"")</f>
        <v/>
      </c>
      <c r="AB294">
        <f>IF(F294="","",IFERROR(VLOOKUP(F294,Action_Templates!$A:$Q,13,FALSE),""))</f>
        <v/>
      </c>
      <c r="AC294">
        <f>IF(F294="","",IFERROR(VLOOKUP(F294,Action_Templates!$A:$Q,14,FALSE),""))</f>
        <v/>
      </c>
      <c r="AD294">
        <f>IF(F294="","",IFERROR(VLOOKUP(F294,Action_Templates!$A:$Q,15,FALSE),""))</f>
        <v/>
      </c>
      <c r="AE294">
        <f>IF(O294="","",IF(OR(O294&lt;&gt;"Closed",AND(P294="YES",T294="Accepted")),"OK","BLOCKED"))</f>
        <v/>
      </c>
      <c r="AF294">
        <f>IF(OR(AC294="",R294=""),"",IF(ISNUMBER(SEARCH(AC294,R294)),"OK","CHECK"))</f>
        <v/>
      </c>
    </row>
    <row r="295">
      <c r="W295">
        <f>IF(AND(O295="Closed",AE295="OK"),TODAY(),"")</f>
        <v/>
      </c>
      <c r="AB295">
        <f>IF(F295="","",IFERROR(VLOOKUP(F295,Action_Templates!$A:$Q,13,FALSE),""))</f>
        <v/>
      </c>
      <c r="AC295">
        <f>IF(F295="","",IFERROR(VLOOKUP(F295,Action_Templates!$A:$Q,14,FALSE),""))</f>
        <v/>
      </c>
      <c r="AD295">
        <f>IF(F295="","",IFERROR(VLOOKUP(F295,Action_Templates!$A:$Q,15,FALSE),""))</f>
        <v/>
      </c>
      <c r="AE295">
        <f>IF(O295="","",IF(OR(O295&lt;&gt;"Closed",AND(P295="YES",T295="Accepted")),"OK","BLOCKED"))</f>
        <v/>
      </c>
      <c r="AF295">
        <f>IF(OR(AC295="",R295=""),"",IF(ISNUMBER(SEARCH(AC295,R295)),"OK","CHECK"))</f>
        <v/>
      </c>
    </row>
    <row r="296">
      <c r="W296">
        <f>IF(AND(O296="Closed",AE296="OK"),TODAY(),"")</f>
        <v/>
      </c>
      <c r="AB296">
        <f>IF(F296="","",IFERROR(VLOOKUP(F296,Action_Templates!$A:$Q,13,FALSE),""))</f>
        <v/>
      </c>
      <c r="AC296">
        <f>IF(F296="","",IFERROR(VLOOKUP(F296,Action_Templates!$A:$Q,14,FALSE),""))</f>
        <v/>
      </c>
      <c r="AD296">
        <f>IF(F296="","",IFERROR(VLOOKUP(F296,Action_Templates!$A:$Q,15,FALSE),""))</f>
        <v/>
      </c>
      <c r="AE296">
        <f>IF(O296="","",IF(OR(O296&lt;&gt;"Closed",AND(P296="YES",T296="Accepted")),"OK","BLOCKED"))</f>
        <v/>
      </c>
      <c r="AF296">
        <f>IF(OR(AC296="",R296=""),"",IF(ISNUMBER(SEARCH(AC296,R296)),"OK","CHECK"))</f>
        <v/>
      </c>
    </row>
    <row r="297">
      <c r="W297">
        <f>IF(AND(O297="Closed",AE297="OK"),TODAY(),"")</f>
        <v/>
      </c>
      <c r="AB297">
        <f>IF(F297="","",IFERROR(VLOOKUP(F297,Action_Templates!$A:$Q,13,FALSE),""))</f>
        <v/>
      </c>
      <c r="AC297">
        <f>IF(F297="","",IFERROR(VLOOKUP(F297,Action_Templates!$A:$Q,14,FALSE),""))</f>
        <v/>
      </c>
      <c r="AD297">
        <f>IF(F297="","",IFERROR(VLOOKUP(F297,Action_Templates!$A:$Q,15,FALSE),""))</f>
        <v/>
      </c>
      <c r="AE297">
        <f>IF(O297="","",IF(OR(O297&lt;&gt;"Closed",AND(P297="YES",T297="Accepted")),"OK","BLOCKED"))</f>
        <v/>
      </c>
      <c r="AF297">
        <f>IF(OR(AC297="",R297=""),"",IF(ISNUMBER(SEARCH(AC297,R297)),"OK","CHECK"))</f>
        <v/>
      </c>
    </row>
    <row r="298">
      <c r="W298">
        <f>IF(AND(O298="Closed",AE298="OK"),TODAY(),"")</f>
        <v/>
      </c>
      <c r="AB298">
        <f>IF(F298="","",IFERROR(VLOOKUP(F298,Action_Templates!$A:$Q,13,FALSE),""))</f>
        <v/>
      </c>
      <c r="AC298">
        <f>IF(F298="","",IFERROR(VLOOKUP(F298,Action_Templates!$A:$Q,14,FALSE),""))</f>
        <v/>
      </c>
      <c r="AD298">
        <f>IF(F298="","",IFERROR(VLOOKUP(F298,Action_Templates!$A:$Q,15,FALSE),""))</f>
        <v/>
      </c>
      <c r="AE298">
        <f>IF(O298="","",IF(OR(O298&lt;&gt;"Closed",AND(P298="YES",T298="Accepted")),"OK","BLOCKED"))</f>
        <v/>
      </c>
      <c r="AF298">
        <f>IF(OR(AC298="",R298=""),"",IF(ISNUMBER(SEARCH(AC298,R298)),"OK","CHECK"))</f>
        <v/>
      </c>
    </row>
    <row r="299">
      <c r="W299">
        <f>IF(AND(O299="Closed",AE299="OK"),TODAY(),"")</f>
        <v/>
      </c>
      <c r="AB299">
        <f>IF(F299="","",IFERROR(VLOOKUP(F299,Action_Templates!$A:$Q,13,FALSE),""))</f>
        <v/>
      </c>
      <c r="AC299">
        <f>IF(F299="","",IFERROR(VLOOKUP(F299,Action_Templates!$A:$Q,14,FALSE),""))</f>
        <v/>
      </c>
      <c r="AD299">
        <f>IF(F299="","",IFERROR(VLOOKUP(F299,Action_Templates!$A:$Q,15,FALSE),""))</f>
        <v/>
      </c>
      <c r="AE299">
        <f>IF(O299="","",IF(OR(O299&lt;&gt;"Closed",AND(P299="YES",T299="Accepted")),"OK","BLOCKED"))</f>
        <v/>
      </c>
      <c r="AF299">
        <f>IF(OR(AC299="",R299=""),"",IF(ISNUMBER(SEARCH(AC299,R299)),"OK","CHECK"))</f>
        <v/>
      </c>
    </row>
    <row r="300">
      <c r="W300">
        <f>IF(AND(O300="Closed",AE300="OK"),TODAY(),"")</f>
        <v/>
      </c>
      <c r="AB300">
        <f>IF(F300="","",IFERROR(VLOOKUP(F300,Action_Templates!$A:$Q,13,FALSE),""))</f>
        <v/>
      </c>
      <c r="AC300">
        <f>IF(F300="","",IFERROR(VLOOKUP(F300,Action_Templates!$A:$Q,14,FALSE),""))</f>
        <v/>
      </c>
      <c r="AD300">
        <f>IF(F300="","",IFERROR(VLOOKUP(F300,Action_Templates!$A:$Q,15,FALSE),""))</f>
        <v/>
      </c>
      <c r="AE300">
        <f>IF(O300="","",IF(OR(O300&lt;&gt;"Closed",AND(P300="YES",T300="Accepted")),"OK","BLOCKED"))</f>
        <v/>
      </c>
      <c r="AF300">
        <f>IF(OR(AC300="",R300=""),"",IF(ISNUMBER(SEARCH(AC300,R300)),"OK","CHECK"))</f>
        <v/>
      </c>
    </row>
    <row r="301">
      <c r="W301">
        <f>IF(AND(O301="Closed",AE301="OK"),TODAY(),"")</f>
        <v/>
      </c>
      <c r="AB301">
        <f>IF(F301="","",IFERROR(VLOOKUP(F301,Action_Templates!$A:$Q,13,FALSE),""))</f>
        <v/>
      </c>
      <c r="AC301">
        <f>IF(F301="","",IFERROR(VLOOKUP(F301,Action_Templates!$A:$Q,14,FALSE),""))</f>
        <v/>
      </c>
      <c r="AD301">
        <f>IF(F301="","",IFERROR(VLOOKUP(F301,Action_Templates!$A:$Q,15,FALSE),""))</f>
        <v/>
      </c>
      <c r="AE301">
        <f>IF(O301="","",IF(OR(O301&lt;&gt;"Closed",AND(P301="YES",T301="Accepted")),"OK","BLOCKED"))</f>
        <v/>
      </c>
      <c r="AF301">
        <f>IF(OR(AC301="",R301=""),"",IF(ISNUMBER(SEARCH(AC301,R301)),"OK","CHECK"))</f>
        <v/>
      </c>
    </row>
    <row r="302">
      <c r="W302">
        <f>IF(AND(O302="Closed",AE302="OK"),TODAY(),"")</f>
        <v/>
      </c>
      <c r="AB302">
        <f>IF(F302="","",IFERROR(VLOOKUP(F302,Action_Templates!$A:$Q,13,FALSE),""))</f>
        <v/>
      </c>
      <c r="AC302">
        <f>IF(F302="","",IFERROR(VLOOKUP(F302,Action_Templates!$A:$Q,14,FALSE),""))</f>
        <v/>
      </c>
      <c r="AD302">
        <f>IF(F302="","",IFERROR(VLOOKUP(F302,Action_Templates!$A:$Q,15,FALSE),""))</f>
        <v/>
      </c>
      <c r="AE302">
        <f>IF(O302="","",IF(OR(O302&lt;&gt;"Closed",AND(P302="YES",T302="Accepted")),"OK","BLOCKED"))</f>
        <v/>
      </c>
      <c r="AF302">
        <f>IF(OR(AC302="",R302=""),"",IF(ISNUMBER(SEARCH(AC302,R302)),"OK","CHECK"))</f>
        <v/>
      </c>
    </row>
    <row r="303">
      <c r="W303">
        <f>IF(AND(O303="Closed",AE303="OK"),TODAY(),"")</f>
        <v/>
      </c>
      <c r="AB303">
        <f>IF(F303="","",IFERROR(VLOOKUP(F303,Action_Templates!$A:$Q,13,FALSE),""))</f>
        <v/>
      </c>
      <c r="AC303">
        <f>IF(F303="","",IFERROR(VLOOKUP(F303,Action_Templates!$A:$Q,14,FALSE),""))</f>
        <v/>
      </c>
      <c r="AD303">
        <f>IF(F303="","",IFERROR(VLOOKUP(F303,Action_Templates!$A:$Q,15,FALSE),""))</f>
        <v/>
      </c>
      <c r="AE303">
        <f>IF(O303="","",IF(OR(O303&lt;&gt;"Closed",AND(P303="YES",T303="Accepted")),"OK","BLOCKED"))</f>
        <v/>
      </c>
      <c r="AF303">
        <f>IF(OR(AC303="",R303=""),"",IF(ISNUMBER(SEARCH(AC303,R303)),"OK","CHECK"))</f>
        <v/>
      </c>
    </row>
    <row r="304">
      <c r="W304">
        <f>IF(AND(O304="Closed",AE304="OK"),TODAY(),"")</f>
        <v/>
      </c>
      <c r="AB304">
        <f>IF(F304="","",IFERROR(VLOOKUP(F304,Action_Templates!$A:$Q,13,FALSE),""))</f>
        <v/>
      </c>
      <c r="AC304">
        <f>IF(F304="","",IFERROR(VLOOKUP(F304,Action_Templates!$A:$Q,14,FALSE),""))</f>
        <v/>
      </c>
      <c r="AD304">
        <f>IF(F304="","",IFERROR(VLOOKUP(F304,Action_Templates!$A:$Q,15,FALSE),""))</f>
        <v/>
      </c>
      <c r="AE304">
        <f>IF(O304="","",IF(OR(O304&lt;&gt;"Closed",AND(P304="YES",T304="Accepted")),"OK","BLOCKED"))</f>
        <v/>
      </c>
      <c r="AF304">
        <f>IF(OR(AC304="",R304=""),"",IF(ISNUMBER(SEARCH(AC304,R304)),"OK","CHECK"))</f>
        <v/>
      </c>
    </row>
    <row r="305">
      <c r="W305">
        <f>IF(AND(O305="Closed",AE305="OK"),TODAY(),"")</f>
        <v/>
      </c>
      <c r="AB305">
        <f>IF(F305="","",IFERROR(VLOOKUP(F305,Action_Templates!$A:$Q,13,FALSE),""))</f>
        <v/>
      </c>
      <c r="AC305">
        <f>IF(F305="","",IFERROR(VLOOKUP(F305,Action_Templates!$A:$Q,14,FALSE),""))</f>
        <v/>
      </c>
      <c r="AD305">
        <f>IF(F305="","",IFERROR(VLOOKUP(F305,Action_Templates!$A:$Q,15,FALSE),""))</f>
        <v/>
      </c>
      <c r="AE305">
        <f>IF(O305="","",IF(OR(O305&lt;&gt;"Closed",AND(P305="YES",T305="Accepted")),"OK","BLOCKED"))</f>
        <v/>
      </c>
      <c r="AF305">
        <f>IF(OR(AC305="",R305=""),"",IF(ISNUMBER(SEARCH(AC305,R305)),"OK","CHECK"))</f>
        <v/>
      </c>
    </row>
    <row r="306">
      <c r="W306">
        <f>IF(AND(O306="Closed",AE306="OK"),TODAY(),"")</f>
        <v/>
      </c>
      <c r="AB306">
        <f>IF(F306="","",IFERROR(VLOOKUP(F306,Action_Templates!$A:$Q,13,FALSE),""))</f>
        <v/>
      </c>
      <c r="AC306">
        <f>IF(F306="","",IFERROR(VLOOKUP(F306,Action_Templates!$A:$Q,14,FALSE),""))</f>
        <v/>
      </c>
      <c r="AD306">
        <f>IF(F306="","",IFERROR(VLOOKUP(F306,Action_Templates!$A:$Q,15,FALSE),""))</f>
        <v/>
      </c>
      <c r="AE306">
        <f>IF(O306="","",IF(OR(O306&lt;&gt;"Closed",AND(P306="YES",T306="Accepted")),"OK","BLOCKED"))</f>
        <v/>
      </c>
      <c r="AF306">
        <f>IF(OR(AC306="",R306=""),"",IF(ISNUMBER(SEARCH(AC306,R306)),"OK","CHECK"))</f>
        <v/>
      </c>
    </row>
    <row r="307">
      <c r="W307">
        <f>IF(AND(O307="Closed",AE307="OK"),TODAY(),"")</f>
        <v/>
      </c>
      <c r="AB307">
        <f>IF(F307="","",IFERROR(VLOOKUP(F307,Action_Templates!$A:$Q,13,FALSE),""))</f>
        <v/>
      </c>
      <c r="AC307">
        <f>IF(F307="","",IFERROR(VLOOKUP(F307,Action_Templates!$A:$Q,14,FALSE),""))</f>
        <v/>
      </c>
      <c r="AD307">
        <f>IF(F307="","",IFERROR(VLOOKUP(F307,Action_Templates!$A:$Q,15,FALSE),""))</f>
        <v/>
      </c>
      <c r="AE307">
        <f>IF(O307="","",IF(OR(O307&lt;&gt;"Closed",AND(P307="YES",T307="Accepted")),"OK","BLOCKED"))</f>
        <v/>
      </c>
      <c r="AF307">
        <f>IF(OR(AC307="",R307=""),"",IF(ISNUMBER(SEARCH(AC307,R307)),"OK","CHECK"))</f>
        <v/>
      </c>
    </row>
    <row r="308">
      <c r="W308">
        <f>IF(AND(O308="Closed",AE308="OK"),TODAY(),"")</f>
        <v/>
      </c>
      <c r="AB308">
        <f>IF(F308="","",IFERROR(VLOOKUP(F308,Action_Templates!$A:$Q,13,FALSE),""))</f>
        <v/>
      </c>
      <c r="AC308">
        <f>IF(F308="","",IFERROR(VLOOKUP(F308,Action_Templates!$A:$Q,14,FALSE),""))</f>
        <v/>
      </c>
      <c r="AD308">
        <f>IF(F308="","",IFERROR(VLOOKUP(F308,Action_Templates!$A:$Q,15,FALSE),""))</f>
        <v/>
      </c>
      <c r="AE308">
        <f>IF(O308="","",IF(OR(O308&lt;&gt;"Closed",AND(P308="YES",T308="Accepted")),"OK","BLOCKED"))</f>
        <v/>
      </c>
      <c r="AF308">
        <f>IF(OR(AC308="",R308=""),"",IF(ISNUMBER(SEARCH(AC308,R308)),"OK","CHECK"))</f>
        <v/>
      </c>
    </row>
    <row r="309">
      <c r="W309">
        <f>IF(AND(O309="Closed",AE309="OK"),TODAY(),"")</f>
        <v/>
      </c>
      <c r="AB309">
        <f>IF(F309="","",IFERROR(VLOOKUP(F309,Action_Templates!$A:$Q,13,FALSE),""))</f>
        <v/>
      </c>
      <c r="AC309">
        <f>IF(F309="","",IFERROR(VLOOKUP(F309,Action_Templates!$A:$Q,14,FALSE),""))</f>
        <v/>
      </c>
      <c r="AD309">
        <f>IF(F309="","",IFERROR(VLOOKUP(F309,Action_Templates!$A:$Q,15,FALSE),""))</f>
        <v/>
      </c>
      <c r="AE309">
        <f>IF(O309="","",IF(OR(O309&lt;&gt;"Closed",AND(P309="YES",T309="Accepted")),"OK","BLOCKED"))</f>
        <v/>
      </c>
      <c r="AF309">
        <f>IF(OR(AC309="",R309=""),"",IF(ISNUMBER(SEARCH(AC309,R309)),"OK","CHECK"))</f>
        <v/>
      </c>
    </row>
    <row r="310">
      <c r="W310">
        <f>IF(AND(O310="Closed",AE310="OK"),TODAY(),"")</f>
        <v/>
      </c>
      <c r="AB310">
        <f>IF(F310="","",IFERROR(VLOOKUP(F310,Action_Templates!$A:$Q,13,FALSE),""))</f>
        <v/>
      </c>
      <c r="AC310">
        <f>IF(F310="","",IFERROR(VLOOKUP(F310,Action_Templates!$A:$Q,14,FALSE),""))</f>
        <v/>
      </c>
      <c r="AD310">
        <f>IF(F310="","",IFERROR(VLOOKUP(F310,Action_Templates!$A:$Q,15,FALSE),""))</f>
        <v/>
      </c>
      <c r="AE310">
        <f>IF(O310="","",IF(OR(O310&lt;&gt;"Closed",AND(P310="YES",T310="Accepted")),"OK","BLOCKED"))</f>
        <v/>
      </c>
      <c r="AF310">
        <f>IF(OR(AC310="",R310=""),"",IF(ISNUMBER(SEARCH(AC310,R310)),"OK","CHECK"))</f>
        <v/>
      </c>
    </row>
    <row r="311">
      <c r="W311">
        <f>IF(AND(O311="Closed",AE311="OK"),TODAY(),"")</f>
        <v/>
      </c>
      <c r="AB311">
        <f>IF(F311="","",IFERROR(VLOOKUP(F311,Action_Templates!$A:$Q,13,FALSE),""))</f>
        <v/>
      </c>
      <c r="AC311">
        <f>IF(F311="","",IFERROR(VLOOKUP(F311,Action_Templates!$A:$Q,14,FALSE),""))</f>
        <v/>
      </c>
      <c r="AD311">
        <f>IF(F311="","",IFERROR(VLOOKUP(F311,Action_Templates!$A:$Q,15,FALSE),""))</f>
        <v/>
      </c>
      <c r="AE311">
        <f>IF(O311="","",IF(OR(O311&lt;&gt;"Closed",AND(P311="YES",T311="Accepted")),"OK","BLOCKED"))</f>
        <v/>
      </c>
      <c r="AF311">
        <f>IF(OR(AC311="",R311=""),"",IF(ISNUMBER(SEARCH(AC311,R311)),"OK","CHECK"))</f>
        <v/>
      </c>
    </row>
    <row r="312">
      <c r="W312">
        <f>IF(AND(O312="Closed",AE312="OK"),TODAY(),"")</f>
        <v/>
      </c>
      <c r="AB312">
        <f>IF(F312="","",IFERROR(VLOOKUP(F312,Action_Templates!$A:$Q,13,FALSE),""))</f>
        <v/>
      </c>
      <c r="AC312">
        <f>IF(F312="","",IFERROR(VLOOKUP(F312,Action_Templates!$A:$Q,14,FALSE),""))</f>
        <v/>
      </c>
      <c r="AD312">
        <f>IF(F312="","",IFERROR(VLOOKUP(F312,Action_Templates!$A:$Q,15,FALSE),""))</f>
        <v/>
      </c>
      <c r="AE312">
        <f>IF(O312="","",IF(OR(O312&lt;&gt;"Closed",AND(P312="YES",T312="Accepted")),"OK","BLOCKED"))</f>
        <v/>
      </c>
      <c r="AF312">
        <f>IF(OR(AC312="",R312=""),"",IF(ISNUMBER(SEARCH(AC312,R312)),"OK","CHECK"))</f>
        <v/>
      </c>
    </row>
    <row r="313">
      <c r="W313">
        <f>IF(AND(O313="Closed",AE313="OK"),TODAY(),"")</f>
        <v/>
      </c>
      <c r="AB313">
        <f>IF(F313="","",IFERROR(VLOOKUP(F313,Action_Templates!$A:$Q,13,FALSE),""))</f>
        <v/>
      </c>
      <c r="AC313">
        <f>IF(F313="","",IFERROR(VLOOKUP(F313,Action_Templates!$A:$Q,14,FALSE),""))</f>
        <v/>
      </c>
      <c r="AD313">
        <f>IF(F313="","",IFERROR(VLOOKUP(F313,Action_Templates!$A:$Q,15,FALSE),""))</f>
        <v/>
      </c>
      <c r="AE313">
        <f>IF(O313="","",IF(OR(O313&lt;&gt;"Closed",AND(P313="YES",T313="Accepted")),"OK","BLOCKED"))</f>
        <v/>
      </c>
      <c r="AF313">
        <f>IF(OR(AC313="",R313=""),"",IF(ISNUMBER(SEARCH(AC313,R313)),"OK","CHECK"))</f>
        <v/>
      </c>
    </row>
    <row r="314">
      <c r="W314">
        <f>IF(AND(O314="Closed",AE314="OK"),TODAY(),"")</f>
        <v/>
      </c>
      <c r="AB314">
        <f>IF(F314="","",IFERROR(VLOOKUP(F314,Action_Templates!$A:$Q,13,FALSE),""))</f>
        <v/>
      </c>
      <c r="AC314">
        <f>IF(F314="","",IFERROR(VLOOKUP(F314,Action_Templates!$A:$Q,14,FALSE),""))</f>
        <v/>
      </c>
      <c r="AD314">
        <f>IF(F314="","",IFERROR(VLOOKUP(F314,Action_Templates!$A:$Q,15,FALSE),""))</f>
        <v/>
      </c>
      <c r="AE314">
        <f>IF(O314="","",IF(OR(O314&lt;&gt;"Closed",AND(P314="YES",T314="Accepted")),"OK","BLOCKED"))</f>
        <v/>
      </c>
      <c r="AF314">
        <f>IF(OR(AC314="",R314=""),"",IF(ISNUMBER(SEARCH(AC314,R314)),"OK","CHECK"))</f>
        <v/>
      </c>
    </row>
    <row r="315">
      <c r="W315">
        <f>IF(AND(O315="Closed",AE315="OK"),TODAY(),"")</f>
        <v/>
      </c>
      <c r="AB315">
        <f>IF(F315="","",IFERROR(VLOOKUP(F315,Action_Templates!$A:$Q,13,FALSE),""))</f>
        <v/>
      </c>
      <c r="AC315">
        <f>IF(F315="","",IFERROR(VLOOKUP(F315,Action_Templates!$A:$Q,14,FALSE),""))</f>
        <v/>
      </c>
      <c r="AD315">
        <f>IF(F315="","",IFERROR(VLOOKUP(F315,Action_Templates!$A:$Q,15,FALSE),""))</f>
        <v/>
      </c>
      <c r="AE315">
        <f>IF(O315="","",IF(OR(O315&lt;&gt;"Closed",AND(P315="YES",T315="Accepted")),"OK","BLOCKED"))</f>
        <v/>
      </c>
      <c r="AF315">
        <f>IF(OR(AC315="",R315=""),"",IF(ISNUMBER(SEARCH(AC315,R315)),"OK","CHECK"))</f>
        <v/>
      </c>
    </row>
    <row r="316">
      <c r="W316">
        <f>IF(AND(O316="Closed",AE316="OK"),TODAY(),"")</f>
        <v/>
      </c>
      <c r="AB316">
        <f>IF(F316="","",IFERROR(VLOOKUP(F316,Action_Templates!$A:$Q,13,FALSE),""))</f>
        <v/>
      </c>
      <c r="AC316">
        <f>IF(F316="","",IFERROR(VLOOKUP(F316,Action_Templates!$A:$Q,14,FALSE),""))</f>
        <v/>
      </c>
      <c r="AD316">
        <f>IF(F316="","",IFERROR(VLOOKUP(F316,Action_Templates!$A:$Q,15,FALSE),""))</f>
        <v/>
      </c>
      <c r="AE316">
        <f>IF(O316="","",IF(OR(O316&lt;&gt;"Closed",AND(P316="YES",T316="Accepted")),"OK","BLOCKED"))</f>
        <v/>
      </c>
      <c r="AF316">
        <f>IF(OR(AC316="",R316=""),"",IF(ISNUMBER(SEARCH(AC316,R316)),"OK","CHECK"))</f>
        <v/>
      </c>
    </row>
    <row r="317">
      <c r="W317">
        <f>IF(AND(O317="Closed",AE317="OK"),TODAY(),"")</f>
        <v/>
      </c>
      <c r="AB317">
        <f>IF(F317="","",IFERROR(VLOOKUP(F317,Action_Templates!$A:$Q,13,FALSE),""))</f>
        <v/>
      </c>
      <c r="AC317">
        <f>IF(F317="","",IFERROR(VLOOKUP(F317,Action_Templates!$A:$Q,14,FALSE),""))</f>
        <v/>
      </c>
      <c r="AD317">
        <f>IF(F317="","",IFERROR(VLOOKUP(F317,Action_Templates!$A:$Q,15,FALSE),""))</f>
        <v/>
      </c>
      <c r="AE317">
        <f>IF(O317="","",IF(OR(O317&lt;&gt;"Closed",AND(P317="YES",T317="Accepted")),"OK","BLOCKED"))</f>
        <v/>
      </c>
      <c r="AF317">
        <f>IF(OR(AC317="",R317=""),"",IF(ISNUMBER(SEARCH(AC317,R317)),"OK","CHECK"))</f>
        <v/>
      </c>
    </row>
    <row r="318">
      <c r="W318">
        <f>IF(AND(O318="Closed",AE318="OK"),TODAY(),"")</f>
        <v/>
      </c>
      <c r="AB318">
        <f>IF(F318="","",IFERROR(VLOOKUP(F318,Action_Templates!$A:$Q,13,FALSE),""))</f>
        <v/>
      </c>
      <c r="AC318">
        <f>IF(F318="","",IFERROR(VLOOKUP(F318,Action_Templates!$A:$Q,14,FALSE),""))</f>
        <v/>
      </c>
      <c r="AD318">
        <f>IF(F318="","",IFERROR(VLOOKUP(F318,Action_Templates!$A:$Q,15,FALSE),""))</f>
        <v/>
      </c>
      <c r="AE318">
        <f>IF(O318="","",IF(OR(O318&lt;&gt;"Closed",AND(P318="YES",T318="Accepted")),"OK","BLOCKED"))</f>
        <v/>
      </c>
      <c r="AF318">
        <f>IF(OR(AC318="",R318=""),"",IF(ISNUMBER(SEARCH(AC318,R318)),"OK","CHECK"))</f>
        <v/>
      </c>
    </row>
    <row r="319">
      <c r="W319">
        <f>IF(AND(O319="Closed",AE319="OK"),TODAY(),"")</f>
        <v/>
      </c>
      <c r="AB319">
        <f>IF(F319="","",IFERROR(VLOOKUP(F319,Action_Templates!$A:$Q,13,FALSE),""))</f>
        <v/>
      </c>
      <c r="AC319">
        <f>IF(F319="","",IFERROR(VLOOKUP(F319,Action_Templates!$A:$Q,14,FALSE),""))</f>
        <v/>
      </c>
      <c r="AD319">
        <f>IF(F319="","",IFERROR(VLOOKUP(F319,Action_Templates!$A:$Q,15,FALSE),""))</f>
        <v/>
      </c>
      <c r="AE319">
        <f>IF(O319="","",IF(OR(O319&lt;&gt;"Closed",AND(P319="YES",T319="Accepted")),"OK","BLOCKED"))</f>
        <v/>
      </c>
      <c r="AF319">
        <f>IF(OR(AC319="",R319=""),"",IF(ISNUMBER(SEARCH(AC319,R319)),"OK","CHECK"))</f>
        <v/>
      </c>
    </row>
    <row r="320">
      <c r="W320">
        <f>IF(AND(O320="Closed",AE320="OK"),TODAY(),"")</f>
        <v/>
      </c>
      <c r="AB320">
        <f>IF(F320="","",IFERROR(VLOOKUP(F320,Action_Templates!$A:$Q,13,FALSE),""))</f>
        <v/>
      </c>
      <c r="AC320">
        <f>IF(F320="","",IFERROR(VLOOKUP(F320,Action_Templates!$A:$Q,14,FALSE),""))</f>
        <v/>
      </c>
      <c r="AD320">
        <f>IF(F320="","",IFERROR(VLOOKUP(F320,Action_Templates!$A:$Q,15,FALSE),""))</f>
        <v/>
      </c>
      <c r="AE320">
        <f>IF(O320="","",IF(OR(O320&lt;&gt;"Closed",AND(P320="YES",T320="Accepted")),"OK","BLOCKED"))</f>
        <v/>
      </c>
      <c r="AF320">
        <f>IF(OR(AC320="",R320=""),"",IF(ISNUMBER(SEARCH(AC320,R320)),"OK","CHECK"))</f>
        <v/>
      </c>
    </row>
    <row r="321">
      <c r="W321">
        <f>IF(AND(O321="Closed",AE321="OK"),TODAY(),"")</f>
        <v/>
      </c>
      <c r="AB321">
        <f>IF(F321="","",IFERROR(VLOOKUP(F321,Action_Templates!$A:$Q,13,FALSE),""))</f>
        <v/>
      </c>
      <c r="AC321">
        <f>IF(F321="","",IFERROR(VLOOKUP(F321,Action_Templates!$A:$Q,14,FALSE),""))</f>
        <v/>
      </c>
      <c r="AD321">
        <f>IF(F321="","",IFERROR(VLOOKUP(F321,Action_Templates!$A:$Q,15,FALSE),""))</f>
        <v/>
      </c>
      <c r="AE321">
        <f>IF(O321="","",IF(OR(O321&lt;&gt;"Closed",AND(P321="YES",T321="Accepted")),"OK","BLOCKED"))</f>
        <v/>
      </c>
      <c r="AF321">
        <f>IF(OR(AC321="",R321=""),"",IF(ISNUMBER(SEARCH(AC321,R321)),"OK","CHECK"))</f>
        <v/>
      </c>
    </row>
    <row r="322">
      <c r="W322">
        <f>IF(AND(O322="Closed",AE322="OK"),TODAY(),"")</f>
        <v/>
      </c>
      <c r="AB322">
        <f>IF(F322="","",IFERROR(VLOOKUP(F322,Action_Templates!$A:$Q,13,FALSE),""))</f>
        <v/>
      </c>
      <c r="AC322">
        <f>IF(F322="","",IFERROR(VLOOKUP(F322,Action_Templates!$A:$Q,14,FALSE),""))</f>
        <v/>
      </c>
      <c r="AD322">
        <f>IF(F322="","",IFERROR(VLOOKUP(F322,Action_Templates!$A:$Q,15,FALSE),""))</f>
        <v/>
      </c>
      <c r="AE322">
        <f>IF(O322="","",IF(OR(O322&lt;&gt;"Closed",AND(P322="YES",T322="Accepted")),"OK","BLOCKED"))</f>
        <v/>
      </c>
      <c r="AF322">
        <f>IF(OR(AC322="",R322=""),"",IF(ISNUMBER(SEARCH(AC322,R322)),"OK","CHECK"))</f>
        <v/>
      </c>
    </row>
    <row r="323">
      <c r="W323">
        <f>IF(AND(O323="Closed",AE323="OK"),TODAY(),"")</f>
        <v/>
      </c>
      <c r="AB323">
        <f>IF(F323="","",IFERROR(VLOOKUP(F323,Action_Templates!$A:$Q,13,FALSE),""))</f>
        <v/>
      </c>
      <c r="AC323">
        <f>IF(F323="","",IFERROR(VLOOKUP(F323,Action_Templates!$A:$Q,14,FALSE),""))</f>
        <v/>
      </c>
      <c r="AD323">
        <f>IF(F323="","",IFERROR(VLOOKUP(F323,Action_Templates!$A:$Q,15,FALSE),""))</f>
        <v/>
      </c>
      <c r="AE323">
        <f>IF(O323="","",IF(OR(O323&lt;&gt;"Closed",AND(P323="YES",T323="Accepted")),"OK","BLOCKED"))</f>
        <v/>
      </c>
      <c r="AF323">
        <f>IF(OR(AC323="",R323=""),"",IF(ISNUMBER(SEARCH(AC323,R323)),"OK","CHECK"))</f>
        <v/>
      </c>
    </row>
    <row r="324">
      <c r="W324">
        <f>IF(AND(O324="Closed",AE324="OK"),TODAY(),"")</f>
        <v/>
      </c>
      <c r="AB324">
        <f>IF(F324="","",IFERROR(VLOOKUP(F324,Action_Templates!$A:$Q,13,FALSE),""))</f>
        <v/>
      </c>
      <c r="AC324">
        <f>IF(F324="","",IFERROR(VLOOKUP(F324,Action_Templates!$A:$Q,14,FALSE),""))</f>
        <v/>
      </c>
      <c r="AD324">
        <f>IF(F324="","",IFERROR(VLOOKUP(F324,Action_Templates!$A:$Q,15,FALSE),""))</f>
        <v/>
      </c>
      <c r="AE324">
        <f>IF(O324="","",IF(OR(O324&lt;&gt;"Closed",AND(P324="YES",T324="Accepted")),"OK","BLOCKED"))</f>
        <v/>
      </c>
      <c r="AF324">
        <f>IF(OR(AC324="",R324=""),"",IF(ISNUMBER(SEARCH(AC324,R324)),"OK","CHECK"))</f>
        <v/>
      </c>
    </row>
    <row r="325">
      <c r="W325">
        <f>IF(AND(O325="Closed",AE325="OK"),TODAY(),"")</f>
        <v/>
      </c>
      <c r="AB325">
        <f>IF(F325="","",IFERROR(VLOOKUP(F325,Action_Templates!$A:$Q,13,FALSE),""))</f>
        <v/>
      </c>
      <c r="AC325">
        <f>IF(F325="","",IFERROR(VLOOKUP(F325,Action_Templates!$A:$Q,14,FALSE),""))</f>
        <v/>
      </c>
      <c r="AD325">
        <f>IF(F325="","",IFERROR(VLOOKUP(F325,Action_Templates!$A:$Q,15,FALSE),""))</f>
        <v/>
      </c>
      <c r="AE325">
        <f>IF(O325="","",IF(OR(O325&lt;&gt;"Closed",AND(P325="YES",T325="Accepted")),"OK","BLOCKED"))</f>
        <v/>
      </c>
      <c r="AF325">
        <f>IF(OR(AC325="",R325=""),"",IF(ISNUMBER(SEARCH(AC325,R325)),"OK","CHECK"))</f>
        <v/>
      </c>
    </row>
    <row r="326">
      <c r="W326">
        <f>IF(AND(O326="Closed",AE326="OK"),TODAY(),"")</f>
        <v/>
      </c>
      <c r="AB326">
        <f>IF(F326="","",IFERROR(VLOOKUP(F326,Action_Templates!$A:$Q,13,FALSE),""))</f>
        <v/>
      </c>
      <c r="AC326">
        <f>IF(F326="","",IFERROR(VLOOKUP(F326,Action_Templates!$A:$Q,14,FALSE),""))</f>
        <v/>
      </c>
      <c r="AD326">
        <f>IF(F326="","",IFERROR(VLOOKUP(F326,Action_Templates!$A:$Q,15,FALSE),""))</f>
        <v/>
      </c>
      <c r="AE326">
        <f>IF(O326="","",IF(OR(O326&lt;&gt;"Closed",AND(P326="YES",T326="Accepted")),"OK","BLOCKED"))</f>
        <v/>
      </c>
      <c r="AF326">
        <f>IF(OR(AC326="",R326=""),"",IF(ISNUMBER(SEARCH(AC326,R326)),"OK","CHECK"))</f>
        <v/>
      </c>
    </row>
    <row r="327">
      <c r="W327">
        <f>IF(AND(O327="Closed",AE327="OK"),TODAY(),"")</f>
        <v/>
      </c>
      <c r="AB327">
        <f>IF(F327="","",IFERROR(VLOOKUP(F327,Action_Templates!$A:$Q,13,FALSE),""))</f>
        <v/>
      </c>
      <c r="AC327">
        <f>IF(F327="","",IFERROR(VLOOKUP(F327,Action_Templates!$A:$Q,14,FALSE),""))</f>
        <v/>
      </c>
      <c r="AD327">
        <f>IF(F327="","",IFERROR(VLOOKUP(F327,Action_Templates!$A:$Q,15,FALSE),""))</f>
        <v/>
      </c>
      <c r="AE327">
        <f>IF(O327="","",IF(OR(O327&lt;&gt;"Closed",AND(P327="YES",T327="Accepted")),"OK","BLOCKED"))</f>
        <v/>
      </c>
      <c r="AF327">
        <f>IF(OR(AC327="",R327=""),"",IF(ISNUMBER(SEARCH(AC327,R327)),"OK","CHECK"))</f>
        <v/>
      </c>
    </row>
    <row r="328">
      <c r="W328">
        <f>IF(AND(O328="Closed",AE328="OK"),TODAY(),"")</f>
        <v/>
      </c>
      <c r="AB328">
        <f>IF(F328="","",IFERROR(VLOOKUP(F328,Action_Templates!$A:$Q,13,FALSE),""))</f>
        <v/>
      </c>
      <c r="AC328">
        <f>IF(F328="","",IFERROR(VLOOKUP(F328,Action_Templates!$A:$Q,14,FALSE),""))</f>
        <v/>
      </c>
      <c r="AD328">
        <f>IF(F328="","",IFERROR(VLOOKUP(F328,Action_Templates!$A:$Q,15,FALSE),""))</f>
        <v/>
      </c>
      <c r="AE328">
        <f>IF(O328="","",IF(OR(O328&lt;&gt;"Closed",AND(P328="YES",T328="Accepted")),"OK","BLOCKED"))</f>
        <v/>
      </c>
      <c r="AF328">
        <f>IF(OR(AC328="",R328=""),"",IF(ISNUMBER(SEARCH(AC328,R328)),"OK","CHECK"))</f>
        <v/>
      </c>
    </row>
    <row r="329">
      <c r="W329">
        <f>IF(AND(O329="Closed",AE329="OK"),TODAY(),"")</f>
        <v/>
      </c>
      <c r="AB329">
        <f>IF(F329="","",IFERROR(VLOOKUP(F329,Action_Templates!$A:$Q,13,FALSE),""))</f>
        <v/>
      </c>
      <c r="AC329">
        <f>IF(F329="","",IFERROR(VLOOKUP(F329,Action_Templates!$A:$Q,14,FALSE),""))</f>
        <v/>
      </c>
      <c r="AD329">
        <f>IF(F329="","",IFERROR(VLOOKUP(F329,Action_Templates!$A:$Q,15,FALSE),""))</f>
        <v/>
      </c>
      <c r="AE329">
        <f>IF(O329="","",IF(OR(O329&lt;&gt;"Closed",AND(P329="YES",T329="Accepted")),"OK","BLOCKED"))</f>
        <v/>
      </c>
      <c r="AF329">
        <f>IF(OR(AC329="",R329=""),"",IF(ISNUMBER(SEARCH(AC329,R329)),"OK","CHECK"))</f>
        <v/>
      </c>
    </row>
    <row r="330">
      <c r="W330">
        <f>IF(AND(O330="Closed",AE330="OK"),TODAY(),"")</f>
        <v/>
      </c>
      <c r="AB330">
        <f>IF(F330="","",IFERROR(VLOOKUP(F330,Action_Templates!$A:$Q,13,FALSE),""))</f>
        <v/>
      </c>
      <c r="AC330">
        <f>IF(F330="","",IFERROR(VLOOKUP(F330,Action_Templates!$A:$Q,14,FALSE),""))</f>
        <v/>
      </c>
      <c r="AD330">
        <f>IF(F330="","",IFERROR(VLOOKUP(F330,Action_Templates!$A:$Q,15,FALSE),""))</f>
        <v/>
      </c>
      <c r="AE330">
        <f>IF(O330="","",IF(OR(O330&lt;&gt;"Closed",AND(P330="YES",T330="Accepted")),"OK","BLOCKED"))</f>
        <v/>
      </c>
      <c r="AF330">
        <f>IF(OR(AC330="",R330=""),"",IF(ISNUMBER(SEARCH(AC330,R330)),"OK","CHECK"))</f>
        <v/>
      </c>
    </row>
    <row r="331">
      <c r="W331">
        <f>IF(AND(O331="Closed",AE331="OK"),TODAY(),"")</f>
        <v/>
      </c>
      <c r="AB331">
        <f>IF(F331="","",IFERROR(VLOOKUP(F331,Action_Templates!$A:$Q,13,FALSE),""))</f>
        <v/>
      </c>
      <c r="AC331">
        <f>IF(F331="","",IFERROR(VLOOKUP(F331,Action_Templates!$A:$Q,14,FALSE),""))</f>
        <v/>
      </c>
      <c r="AD331">
        <f>IF(F331="","",IFERROR(VLOOKUP(F331,Action_Templates!$A:$Q,15,FALSE),""))</f>
        <v/>
      </c>
      <c r="AE331">
        <f>IF(O331="","",IF(OR(O331&lt;&gt;"Closed",AND(P331="YES",T331="Accepted")),"OK","BLOCKED"))</f>
        <v/>
      </c>
      <c r="AF331">
        <f>IF(OR(AC331="",R331=""),"",IF(ISNUMBER(SEARCH(AC331,R331)),"OK","CHECK"))</f>
        <v/>
      </c>
    </row>
    <row r="332">
      <c r="W332">
        <f>IF(AND(O332="Closed",AE332="OK"),TODAY(),"")</f>
        <v/>
      </c>
      <c r="AB332">
        <f>IF(F332="","",IFERROR(VLOOKUP(F332,Action_Templates!$A:$Q,13,FALSE),""))</f>
        <v/>
      </c>
      <c r="AC332">
        <f>IF(F332="","",IFERROR(VLOOKUP(F332,Action_Templates!$A:$Q,14,FALSE),""))</f>
        <v/>
      </c>
      <c r="AD332">
        <f>IF(F332="","",IFERROR(VLOOKUP(F332,Action_Templates!$A:$Q,15,FALSE),""))</f>
        <v/>
      </c>
      <c r="AE332">
        <f>IF(O332="","",IF(OR(O332&lt;&gt;"Closed",AND(P332="YES",T332="Accepted")),"OK","BLOCKED"))</f>
        <v/>
      </c>
      <c r="AF332">
        <f>IF(OR(AC332="",R332=""),"",IF(ISNUMBER(SEARCH(AC332,R332)),"OK","CHECK"))</f>
        <v/>
      </c>
    </row>
    <row r="333">
      <c r="W333">
        <f>IF(AND(O333="Closed",AE333="OK"),TODAY(),"")</f>
        <v/>
      </c>
      <c r="AB333">
        <f>IF(F333="","",IFERROR(VLOOKUP(F333,Action_Templates!$A:$Q,13,FALSE),""))</f>
        <v/>
      </c>
      <c r="AC333">
        <f>IF(F333="","",IFERROR(VLOOKUP(F333,Action_Templates!$A:$Q,14,FALSE),""))</f>
        <v/>
      </c>
      <c r="AD333">
        <f>IF(F333="","",IFERROR(VLOOKUP(F333,Action_Templates!$A:$Q,15,FALSE),""))</f>
        <v/>
      </c>
      <c r="AE333">
        <f>IF(O333="","",IF(OR(O333&lt;&gt;"Closed",AND(P333="YES",T333="Accepted")),"OK","BLOCKED"))</f>
        <v/>
      </c>
      <c r="AF333">
        <f>IF(OR(AC333="",R333=""),"",IF(ISNUMBER(SEARCH(AC333,R333)),"OK","CHECK"))</f>
        <v/>
      </c>
    </row>
    <row r="334">
      <c r="W334">
        <f>IF(AND(O334="Closed",AE334="OK"),TODAY(),"")</f>
        <v/>
      </c>
      <c r="AB334">
        <f>IF(F334="","",IFERROR(VLOOKUP(F334,Action_Templates!$A:$Q,13,FALSE),""))</f>
        <v/>
      </c>
      <c r="AC334">
        <f>IF(F334="","",IFERROR(VLOOKUP(F334,Action_Templates!$A:$Q,14,FALSE),""))</f>
        <v/>
      </c>
      <c r="AD334">
        <f>IF(F334="","",IFERROR(VLOOKUP(F334,Action_Templates!$A:$Q,15,FALSE),""))</f>
        <v/>
      </c>
      <c r="AE334">
        <f>IF(O334="","",IF(OR(O334&lt;&gt;"Closed",AND(P334="YES",T334="Accepted")),"OK","BLOCKED"))</f>
        <v/>
      </c>
      <c r="AF334">
        <f>IF(OR(AC334="",R334=""),"",IF(ISNUMBER(SEARCH(AC334,R334)),"OK","CHECK"))</f>
        <v/>
      </c>
    </row>
    <row r="335">
      <c r="W335">
        <f>IF(AND(O335="Closed",AE335="OK"),TODAY(),"")</f>
        <v/>
      </c>
      <c r="AB335">
        <f>IF(F335="","",IFERROR(VLOOKUP(F335,Action_Templates!$A:$Q,13,FALSE),""))</f>
        <v/>
      </c>
      <c r="AC335">
        <f>IF(F335="","",IFERROR(VLOOKUP(F335,Action_Templates!$A:$Q,14,FALSE),""))</f>
        <v/>
      </c>
      <c r="AD335">
        <f>IF(F335="","",IFERROR(VLOOKUP(F335,Action_Templates!$A:$Q,15,FALSE),""))</f>
        <v/>
      </c>
      <c r="AE335">
        <f>IF(O335="","",IF(OR(O335&lt;&gt;"Closed",AND(P335="YES",T335="Accepted")),"OK","BLOCKED"))</f>
        <v/>
      </c>
      <c r="AF335">
        <f>IF(OR(AC335="",R335=""),"",IF(ISNUMBER(SEARCH(AC335,R335)),"OK","CHECK"))</f>
        <v/>
      </c>
    </row>
    <row r="336">
      <c r="W336">
        <f>IF(AND(O336="Closed",AE336="OK"),TODAY(),"")</f>
        <v/>
      </c>
      <c r="AB336">
        <f>IF(F336="","",IFERROR(VLOOKUP(F336,Action_Templates!$A:$Q,13,FALSE),""))</f>
        <v/>
      </c>
      <c r="AC336">
        <f>IF(F336="","",IFERROR(VLOOKUP(F336,Action_Templates!$A:$Q,14,FALSE),""))</f>
        <v/>
      </c>
      <c r="AD336">
        <f>IF(F336="","",IFERROR(VLOOKUP(F336,Action_Templates!$A:$Q,15,FALSE),""))</f>
        <v/>
      </c>
      <c r="AE336">
        <f>IF(O336="","",IF(OR(O336&lt;&gt;"Closed",AND(P336="YES",T336="Accepted")),"OK","BLOCKED"))</f>
        <v/>
      </c>
      <c r="AF336">
        <f>IF(OR(AC336="",R336=""),"",IF(ISNUMBER(SEARCH(AC336,R336)),"OK","CHECK"))</f>
        <v/>
      </c>
    </row>
    <row r="337">
      <c r="W337">
        <f>IF(AND(O337="Closed",AE337="OK"),TODAY(),"")</f>
        <v/>
      </c>
      <c r="AB337">
        <f>IF(F337="","",IFERROR(VLOOKUP(F337,Action_Templates!$A:$Q,13,FALSE),""))</f>
        <v/>
      </c>
      <c r="AC337">
        <f>IF(F337="","",IFERROR(VLOOKUP(F337,Action_Templates!$A:$Q,14,FALSE),""))</f>
        <v/>
      </c>
      <c r="AD337">
        <f>IF(F337="","",IFERROR(VLOOKUP(F337,Action_Templates!$A:$Q,15,FALSE),""))</f>
        <v/>
      </c>
      <c r="AE337">
        <f>IF(O337="","",IF(OR(O337&lt;&gt;"Closed",AND(P337="YES",T337="Accepted")),"OK","BLOCKED"))</f>
        <v/>
      </c>
      <c r="AF337">
        <f>IF(OR(AC337="",R337=""),"",IF(ISNUMBER(SEARCH(AC337,R337)),"OK","CHECK"))</f>
        <v/>
      </c>
    </row>
    <row r="338">
      <c r="W338">
        <f>IF(AND(O338="Closed",AE338="OK"),TODAY(),"")</f>
        <v/>
      </c>
      <c r="AB338">
        <f>IF(F338="","",IFERROR(VLOOKUP(F338,Action_Templates!$A:$Q,13,FALSE),""))</f>
        <v/>
      </c>
      <c r="AC338">
        <f>IF(F338="","",IFERROR(VLOOKUP(F338,Action_Templates!$A:$Q,14,FALSE),""))</f>
        <v/>
      </c>
      <c r="AD338">
        <f>IF(F338="","",IFERROR(VLOOKUP(F338,Action_Templates!$A:$Q,15,FALSE),""))</f>
        <v/>
      </c>
      <c r="AE338">
        <f>IF(O338="","",IF(OR(O338&lt;&gt;"Closed",AND(P338="YES",T338="Accepted")),"OK","BLOCKED"))</f>
        <v/>
      </c>
      <c r="AF338">
        <f>IF(OR(AC338="",R338=""),"",IF(ISNUMBER(SEARCH(AC338,R338)),"OK","CHECK"))</f>
        <v/>
      </c>
    </row>
    <row r="339">
      <c r="W339">
        <f>IF(AND(O339="Closed",AE339="OK"),TODAY(),"")</f>
        <v/>
      </c>
      <c r="AB339">
        <f>IF(F339="","",IFERROR(VLOOKUP(F339,Action_Templates!$A:$Q,13,FALSE),""))</f>
        <v/>
      </c>
      <c r="AC339">
        <f>IF(F339="","",IFERROR(VLOOKUP(F339,Action_Templates!$A:$Q,14,FALSE),""))</f>
        <v/>
      </c>
      <c r="AD339">
        <f>IF(F339="","",IFERROR(VLOOKUP(F339,Action_Templates!$A:$Q,15,FALSE),""))</f>
        <v/>
      </c>
      <c r="AE339">
        <f>IF(O339="","",IF(OR(O339&lt;&gt;"Closed",AND(P339="YES",T339="Accepted")),"OK","BLOCKED"))</f>
        <v/>
      </c>
      <c r="AF339">
        <f>IF(OR(AC339="",R339=""),"",IF(ISNUMBER(SEARCH(AC339,R339)),"OK","CHECK"))</f>
        <v/>
      </c>
    </row>
    <row r="340">
      <c r="W340">
        <f>IF(AND(O340="Closed",AE340="OK"),TODAY(),"")</f>
        <v/>
      </c>
      <c r="AB340">
        <f>IF(F340="","",IFERROR(VLOOKUP(F340,Action_Templates!$A:$Q,13,FALSE),""))</f>
        <v/>
      </c>
      <c r="AC340">
        <f>IF(F340="","",IFERROR(VLOOKUP(F340,Action_Templates!$A:$Q,14,FALSE),""))</f>
        <v/>
      </c>
      <c r="AD340">
        <f>IF(F340="","",IFERROR(VLOOKUP(F340,Action_Templates!$A:$Q,15,FALSE),""))</f>
        <v/>
      </c>
      <c r="AE340">
        <f>IF(O340="","",IF(OR(O340&lt;&gt;"Closed",AND(P340="YES",T340="Accepted")),"OK","BLOCKED"))</f>
        <v/>
      </c>
      <c r="AF340">
        <f>IF(OR(AC340="",R340=""),"",IF(ISNUMBER(SEARCH(AC340,R340)),"OK","CHECK"))</f>
        <v/>
      </c>
    </row>
    <row r="341">
      <c r="W341">
        <f>IF(AND(O341="Closed",AE341="OK"),TODAY(),"")</f>
        <v/>
      </c>
      <c r="AB341">
        <f>IF(F341="","",IFERROR(VLOOKUP(F341,Action_Templates!$A:$Q,13,FALSE),""))</f>
        <v/>
      </c>
      <c r="AC341">
        <f>IF(F341="","",IFERROR(VLOOKUP(F341,Action_Templates!$A:$Q,14,FALSE),""))</f>
        <v/>
      </c>
      <c r="AD341">
        <f>IF(F341="","",IFERROR(VLOOKUP(F341,Action_Templates!$A:$Q,15,FALSE),""))</f>
        <v/>
      </c>
      <c r="AE341">
        <f>IF(O341="","",IF(OR(O341&lt;&gt;"Closed",AND(P341="YES",T341="Accepted")),"OK","BLOCKED"))</f>
        <v/>
      </c>
      <c r="AF341">
        <f>IF(OR(AC341="",R341=""),"",IF(ISNUMBER(SEARCH(AC341,R341)),"OK","CHECK"))</f>
        <v/>
      </c>
    </row>
    <row r="342">
      <c r="W342">
        <f>IF(AND(O342="Closed",AE342="OK"),TODAY(),"")</f>
        <v/>
      </c>
      <c r="AB342">
        <f>IF(F342="","",IFERROR(VLOOKUP(F342,Action_Templates!$A:$Q,13,FALSE),""))</f>
        <v/>
      </c>
      <c r="AC342">
        <f>IF(F342="","",IFERROR(VLOOKUP(F342,Action_Templates!$A:$Q,14,FALSE),""))</f>
        <v/>
      </c>
      <c r="AD342">
        <f>IF(F342="","",IFERROR(VLOOKUP(F342,Action_Templates!$A:$Q,15,FALSE),""))</f>
        <v/>
      </c>
      <c r="AE342">
        <f>IF(O342="","",IF(OR(O342&lt;&gt;"Closed",AND(P342="YES",T342="Accepted")),"OK","BLOCKED"))</f>
        <v/>
      </c>
      <c r="AF342">
        <f>IF(OR(AC342="",R342=""),"",IF(ISNUMBER(SEARCH(AC342,R342)),"OK","CHECK"))</f>
        <v/>
      </c>
    </row>
    <row r="343">
      <c r="W343">
        <f>IF(AND(O343="Closed",AE343="OK"),TODAY(),"")</f>
        <v/>
      </c>
      <c r="AB343">
        <f>IF(F343="","",IFERROR(VLOOKUP(F343,Action_Templates!$A:$Q,13,FALSE),""))</f>
        <v/>
      </c>
      <c r="AC343">
        <f>IF(F343="","",IFERROR(VLOOKUP(F343,Action_Templates!$A:$Q,14,FALSE),""))</f>
        <v/>
      </c>
      <c r="AD343">
        <f>IF(F343="","",IFERROR(VLOOKUP(F343,Action_Templates!$A:$Q,15,FALSE),""))</f>
        <v/>
      </c>
      <c r="AE343">
        <f>IF(O343="","",IF(OR(O343&lt;&gt;"Closed",AND(P343="YES",T343="Accepted")),"OK","BLOCKED"))</f>
        <v/>
      </c>
      <c r="AF343">
        <f>IF(OR(AC343="",R343=""),"",IF(ISNUMBER(SEARCH(AC343,R343)),"OK","CHECK"))</f>
        <v/>
      </c>
    </row>
    <row r="344">
      <c r="W344">
        <f>IF(AND(O344="Closed",AE344="OK"),TODAY(),"")</f>
        <v/>
      </c>
      <c r="AB344">
        <f>IF(F344="","",IFERROR(VLOOKUP(F344,Action_Templates!$A:$Q,13,FALSE),""))</f>
        <v/>
      </c>
      <c r="AC344">
        <f>IF(F344="","",IFERROR(VLOOKUP(F344,Action_Templates!$A:$Q,14,FALSE),""))</f>
        <v/>
      </c>
      <c r="AD344">
        <f>IF(F344="","",IFERROR(VLOOKUP(F344,Action_Templates!$A:$Q,15,FALSE),""))</f>
        <v/>
      </c>
      <c r="AE344">
        <f>IF(O344="","",IF(OR(O344&lt;&gt;"Closed",AND(P344="YES",T344="Accepted")),"OK","BLOCKED"))</f>
        <v/>
      </c>
      <c r="AF344">
        <f>IF(OR(AC344="",R344=""),"",IF(ISNUMBER(SEARCH(AC344,R344)),"OK","CHECK"))</f>
        <v/>
      </c>
    </row>
    <row r="345">
      <c r="W345">
        <f>IF(AND(O345="Closed",AE345="OK"),TODAY(),"")</f>
        <v/>
      </c>
      <c r="AB345">
        <f>IF(F345="","",IFERROR(VLOOKUP(F345,Action_Templates!$A:$Q,13,FALSE),""))</f>
        <v/>
      </c>
      <c r="AC345">
        <f>IF(F345="","",IFERROR(VLOOKUP(F345,Action_Templates!$A:$Q,14,FALSE),""))</f>
        <v/>
      </c>
      <c r="AD345">
        <f>IF(F345="","",IFERROR(VLOOKUP(F345,Action_Templates!$A:$Q,15,FALSE),""))</f>
        <v/>
      </c>
      <c r="AE345">
        <f>IF(O345="","",IF(OR(O345&lt;&gt;"Closed",AND(P345="YES",T345="Accepted")),"OK","BLOCKED"))</f>
        <v/>
      </c>
      <c r="AF345">
        <f>IF(OR(AC345="",R345=""),"",IF(ISNUMBER(SEARCH(AC345,R345)),"OK","CHECK"))</f>
        <v/>
      </c>
    </row>
    <row r="346">
      <c r="W346">
        <f>IF(AND(O346="Closed",AE346="OK"),TODAY(),"")</f>
        <v/>
      </c>
      <c r="AB346">
        <f>IF(F346="","",IFERROR(VLOOKUP(F346,Action_Templates!$A:$Q,13,FALSE),""))</f>
        <v/>
      </c>
      <c r="AC346">
        <f>IF(F346="","",IFERROR(VLOOKUP(F346,Action_Templates!$A:$Q,14,FALSE),""))</f>
        <v/>
      </c>
      <c r="AD346">
        <f>IF(F346="","",IFERROR(VLOOKUP(F346,Action_Templates!$A:$Q,15,FALSE),""))</f>
        <v/>
      </c>
      <c r="AE346">
        <f>IF(O346="","",IF(OR(O346&lt;&gt;"Closed",AND(P346="YES",T346="Accepted")),"OK","BLOCKED"))</f>
        <v/>
      </c>
      <c r="AF346">
        <f>IF(OR(AC346="",R346=""),"",IF(ISNUMBER(SEARCH(AC346,R346)),"OK","CHECK"))</f>
        <v/>
      </c>
    </row>
    <row r="347">
      <c r="W347">
        <f>IF(AND(O347="Closed",AE347="OK"),TODAY(),"")</f>
        <v/>
      </c>
      <c r="AB347">
        <f>IF(F347="","",IFERROR(VLOOKUP(F347,Action_Templates!$A:$Q,13,FALSE),""))</f>
        <v/>
      </c>
      <c r="AC347">
        <f>IF(F347="","",IFERROR(VLOOKUP(F347,Action_Templates!$A:$Q,14,FALSE),""))</f>
        <v/>
      </c>
      <c r="AD347">
        <f>IF(F347="","",IFERROR(VLOOKUP(F347,Action_Templates!$A:$Q,15,FALSE),""))</f>
        <v/>
      </c>
      <c r="AE347">
        <f>IF(O347="","",IF(OR(O347&lt;&gt;"Closed",AND(P347="YES",T347="Accepted")),"OK","BLOCKED"))</f>
        <v/>
      </c>
      <c r="AF347">
        <f>IF(OR(AC347="",R347=""),"",IF(ISNUMBER(SEARCH(AC347,R347)),"OK","CHECK"))</f>
        <v/>
      </c>
    </row>
    <row r="348">
      <c r="W348">
        <f>IF(AND(O348="Closed",AE348="OK"),TODAY(),"")</f>
        <v/>
      </c>
      <c r="AB348">
        <f>IF(F348="","",IFERROR(VLOOKUP(F348,Action_Templates!$A:$Q,13,FALSE),""))</f>
        <v/>
      </c>
      <c r="AC348">
        <f>IF(F348="","",IFERROR(VLOOKUP(F348,Action_Templates!$A:$Q,14,FALSE),""))</f>
        <v/>
      </c>
      <c r="AD348">
        <f>IF(F348="","",IFERROR(VLOOKUP(F348,Action_Templates!$A:$Q,15,FALSE),""))</f>
        <v/>
      </c>
      <c r="AE348">
        <f>IF(O348="","",IF(OR(O348&lt;&gt;"Closed",AND(P348="YES",T348="Accepted")),"OK","BLOCKED"))</f>
        <v/>
      </c>
      <c r="AF348">
        <f>IF(OR(AC348="",R348=""),"",IF(ISNUMBER(SEARCH(AC348,R348)),"OK","CHECK"))</f>
        <v/>
      </c>
    </row>
    <row r="349">
      <c r="W349">
        <f>IF(AND(O349="Closed",AE349="OK"),TODAY(),"")</f>
        <v/>
      </c>
      <c r="AB349">
        <f>IF(F349="","",IFERROR(VLOOKUP(F349,Action_Templates!$A:$Q,13,FALSE),""))</f>
        <v/>
      </c>
      <c r="AC349">
        <f>IF(F349="","",IFERROR(VLOOKUP(F349,Action_Templates!$A:$Q,14,FALSE),""))</f>
        <v/>
      </c>
      <c r="AD349">
        <f>IF(F349="","",IFERROR(VLOOKUP(F349,Action_Templates!$A:$Q,15,FALSE),""))</f>
        <v/>
      </c>
      <c r="AE349">
        <f>IF(O349="","",IF(OR(O349&lt;&gt;"Closed",AND(P349="YES",T349="Accepted")),"OK","BLOCKED"))</f>
        <v/>
      </c>
      <c r="AF349">
        <f>IF(OR(AC349="",R349=""),"",IF(ISNUMBER(SEARCH(AC349,R349)),"OK","CHECK"))</f>
        <v/>
      </c>
    </row>
    <row r="350">
      <c r="W350">
        <f>IF(AND(O350="Closed",AE350="OK"),TODAY(),"")</f>
        <v/>
      </c>
      <c r="AB350">
        <f>IF(F350="","",IFERROR(VLOOKUP(F350,Action_Templates!$A:$Q,13,FALSE),""))</f>
        <v/>
      </c>
      <c r="AC350">
        <f>IF(F350="","",IFERROR(VLOOKUP(F350,Action_Templates!$A:$Q,14,FALSE),""))</f>
        <v/>
      </c>
      <c r="AD350">
        <f>IF(F350="","",IFERROR(VLOOKUP(F350,Action_Templates!$A:$Q,15,FALSE),""))</f>
        <v/>
      </c>
      <c r="AE350">
        <f>IF(O350="","",IF(OR(O350&lt;&gt;"Closed",AND(P350="YES",T350="Accepted")),"OK","BLOCKED"))</f>
        <v/>
      </c>
      <c r="AF350">
        <f>IF(OR(AC350="",R350=""),"",IF(ISNUMBER(SEARCH(AC350,R350)),"OK","CHECK"))</f>
        <v/>
      </c>
    </row>
    <row r="351">
      <c r="W351">
        <f>IF(AND(O351="Closed",AE351="OK"),TODAY(),"")</f>
        <v/>
      </c>
      <c r="AB351">
        <f>IF(F351="","",IFERROR(VLOOKUP(F351,Action_Templates!$A:$Q,13,FALSE),""))</f>
        <v/>
      </c>
      <c r="AC351">
        <f>IF(F351="","",IFERROR(VLOOKUP(F351,Action_Templates!$A:$Q,14,FALSE),""))</f>
        <v/>
      </c>
      <c r="AD351">
        <f>IF(F351="","",IFERROR(VLOOKUP(F351,Action_Templates!$A:$Q,15,FALSE),""))</f>
        <v/>
      </c>
      <c r="AE351">
        <f>IF(O351="","",IF(OR(O351&lt;&gt;"Closed",AND(P351="YES",T351="Accepted")),"OK","BLOCKED"))</f>
        <v/>
      </c>
      <c r="AF351">
        <f>IF(OR(AC351="",R351=""),"",IF(ISNUMBER(SEARCH(AC351,R351)),"OK","CHECK"))</f>
        <v/>
      </c>
    </row>
    <row r="352">
      <c r="W352">
        <f>IF(AND(O352="Closed",AE352="OK"),TODAY(),"")</f>
        <v/>
      </c>
      <c r="AB352">
        <f>IF(F352="","",IFERROR(VLOOKUP(F352,Action_Templates!$A:$Q,13,FALSE),""))</f>
        <v/>
      </c>
      <c r="AC352">
        <f>IF(F352="","",IFERROR(VLOOKUP(F352,Action_Templates!$A:$Q,14,FALSE),""))</f>
        <v/>
      </c>
      <c r="AD352">
        <f>IF(F352="","",IFERROR(VLOOKUP(F352,Action_Templates!$A:$Q,15,FALSE),""))</f>
        <v/>
      </c>
      <c r="AE352">
        <f>IF(O352="","",IF(OR(O352&lt;&gt;"Closed",AND(P352="YES",T352="Accepted")),"OK","BLOCKED"))</f>
        <v/>
      </c>
      <c r="AF352">
        <f>IF(OR(AC352="",R352=""),"",IF(ISNUMBER(SEARCH(AC352,R352)),"OK","CHECK"))</f>
        <v/>
      </c>
    </row>
    <row r="353">
      <c r="W353">
        <f>IF(AND(O353="Closed",AE353="OK"),TODAY(),"")</f>
        <v/>
      </c>
      <c r="AB353">
        <f>IF(F353="","",IFERROR(VLOOKUP(F353,Action_Templates!$A:$Q,13,FALSE),""))</f>
        <v/>
      </c>
      <c r="AC353">
        <f>IF(F353="","",IFERROR(VLOOKUP(F353,Action_Templates!$A:$Q,14,FALSE),""))</f>
        <v/>
      </c>
      <c r="AD353">
        <f>IF(F353="","",IFERROR(VLOOKUP(F353,Action_Templates!$A:$Q,15,FALSE),""))</f>
        <v/>
      </c>
      <c r="AE353">
        <f>IF(O353="","",IF(OR(O353&lt;&gt;"Closed",AND(P353="YES",T353="Accepted")),"OK","BLOCKED"))</f>
        <v/>
      </c>
      <c r="AF353">
        <f>IF(OR(AC353="",R353=""),"",IF(ISNUMBER(SEARCH(AC353,R353)),"OK","CHECK"))</f>
        <v/>
      </c>
    </row>
    <row r="354">
      <c r="W354">
        <f>IF(AND(O354="Closed",AE354="OK"),TODAY(),"")</f>
        <v/>
      </c>
      <c r="AB354">
        <f>IF(F354="","",IFERROR(VLOOKUP(F354,Action_Templates!$A:$Q,13,FALSE),""))</f>
        <v/>
      </c>
      <c r="AC354">
        <f>IF(F354="","",IFERROR(VLOOKUP(F354,Action_Templates!$A:$Q,14,FALSE),""))</f>
        <v/>
      </c>
      <c r="AD354">
        <f>IF(F354="","",IFERROR(VLOOKUP(F354,Action_Templates!$A:$Q,15,FALSE),""))</f>
        <v/>
      </c>
      <c r="AE354">
        <f>IF(O354="","",IF(OR(O354&lt;&gt;"Closed",AND(P354="YES",T354="Accepted")),"OK","BLOCKED"))</f>
        <v/>
      </c>
      <c r="AF354">
        <f>IF(OR(AC354="",R354=""),"",IF(ISNUMBER(SEARCH(AC354,R354)),"OK","CHECK"))</f>
        <v/>
      </c>
    </row>
    <row r="355">
      <c r="W355">
        <f>IF(AND(O355="Closed",AE355="OK"),TODAY(),"")</f>
        <v/>
      </c>
      <c r="AB355">
        <f>IF(F355="","",IFERROR(VLOOKUP(F355,Action_Templates!$A:$Q,13,FALSE),""))</f>
        <v/>
      </c>
      <c r="AC355">
        <f>IF(F355="","",IFERROR(VLOOKUP(F355,Action_Templates!$A:$Q,14,FALSE),""))</f>
        <v/>
      </c>
      <c r="AD355">
        <f>IF(F355="","",IFERROR(VLOOKUP(F355,Action_Templates!$A:$Q,15,FALSE),""))</f>
        <v/>
      </c>
      <c r="AE355">
        <f>IF(O355="","",IF(OR(O355&lt;&gt;"Closed",AND(P355="YES",T355="Accepted")),"OK","BLOCKED"))</f>
        <v/>
      </c>
      <c r="AF355">
        <f>IF(OR(AC355="",R355=""),"",IF(ISNUMBER(SEARCH(AC355,R355)),"OK","CHECK"))</f>
        <v/>
      </c>
    </row>
    <row r="356">
      <c r="W356">
        <f>IF(AND(O356="Closed",AE356="OK"),TODAY(),"")</f>
        <v/>
      </c>
      <c r="AB356">
        <f>IF(F356="","",IFERROR(VLOOKUP(F356,Action_Templates!$A:$Q,13,FALSE),""))</f>
        <v/>
      </c>
      <c r="AC356">
        <f>IF(F356="","",IFERROR(VLOOKUP(F356,Action_Templates!$A:$Q,14,FALSE),""))</f>
        <v/>
      </c>
      <c r="AD356">
        <f>IF(F356="","",IFERROR(VLOOKUP(F356,Action_Templates!$A:$Q,15,FALSE),""))</f>
        <v/>
      </c>
      <c r="AE356">
        <f>IF(O356="","",IF(OR(O356&lt;&gt;"Closed",AND(P356="YES",T356="Accepted")),"OK","BLOCKED"))</f>
        <v/>
      </c>
      <c r="AF356">
        <f>IF(OR(AC356="",R356=""),"",IF(ISNUMBER(SEARCH(AC356,R356)),"OK","CHECK"))</f>
        <v/>
      </c>
    </row>
    <row r="357">
      <c r="W357">
        <f>IF(AND(O357="Closed",AE357="OK"),TODAY(),"")</f>
        <v/>
      </c>
      <c r="AB357">
        <f>IF(F357="","",IFERROR(VLOOKUP(F357,Action_Templates!$A:$Q,13,FALSE),""))</f>
        <v/>
      </c>
      <c r="AC357">
        <f>IF(F357="","",IFERROR(VLOOKUP(F357,Action_Templates!$A:$Q,14,FALSE),""))</f>
        <v/>
      </c>
      <c r="AD357">
        <f>IF(F357="","",IFERROR(VLOOKUP(F357,Action_Templates!$A:$Q,15,FALSE),""))</f>
        <v/>
      </c>
      <c r="AE357">
        <f>IF(O357="","",IF(OR(O357&lt;&gt;"Closed",AND(P357="YES",T357="Accepted")),"OK","BLOCKED"))</f>
        <v/>
      </c>
      <c r="AF357">
        <f>IF(OR(AC357="",R357=""),"",IF(ISNUMBER(SEARCH(AC357,R357)),"OK","CHECK"))</f>
        <v/>
      </c>
    </row>
    <row r="358">
      <c r="W358">
        <f>IF(AND(O358="Closed",AE358="OK"),TODAY(),"")</f>
        <v/>
      </c>
      <c r="AB358">
        <f>IF(F358="","",IFERROR(VLOOKUP(F358,Action_Templates!$A:$Q,13,FALSE),""))</f>
        <v/>
      </c>
      <c r="AC358">
        <f>IF(F358="","",IFERROR(VLOOKUP(F358,Action_Templates!$A:$Q,14,FALSE),""))</f>
        <v/>
      </c>
      <c r="AD358">
        <f>IF(F358="","",IFERROR(VLOOKUP(F358,Action_Templates!$A:$Q,15,FALSE),""))</f>
        <v/>
      </c>
      <c r="AE358">
        <f>IF(O358="","",IF(OR(O358&lt;&gt;"Closed",AND(P358="YES",T358="Accepted")),"OK","BLOCKED"))</f>
        <v/>
      </c>
      <c r="AF358">
        <f>IF(OR(AC358="",R358=""),"",IF(ISNUMBER(SEARCH(AC358,R358)),"OK","CHECK"))</f>
        <v/>
      </c>
    </row>
    <row r="359">
      <c r="W359">
        <f>IF(AND(O359="Closed",AE359="OK"),TODAY(),"")</f>
        <v/>
      </c>
      <c r="AB359">
        <f>IF(F359="","",IFERROR(VLOOKUP(F359,Action_Templates!$A:$Q,13,FALSE),""))</f>
        <v/>
      </c>
      <c r="AC359">
        <f>IF(F359="","",IFERROR(VLOOKUP(F359,Action_Templates!$A:$Q,14,FALSE),""))</f>
        <v/>
      </c>
      <c r="AD359">
        <f>IF(F359="","",IFERROR(VLOOKUP(F359,Action_Templates!$A:$Q,15,FALSE),""))</f>
        <v/>
      </c>
      <c r="AE359">
        <f>IF(O359="","",IF(OR(O359&lt;&gt;"Closed",AND(P359="YES",T359="Accepted")),"OK","BLOCKED"))</f>
        <v/>
      </c>
      <c r="AF359">
        <f>IF(OR(AC359="",R359=""),"",IF(ISNUMBER(SEARCH(AC359,R359)),"OK","CHECK"))</f>
        <v/>
      </c>
    </row>
    <row r="360">
      <c r="W360">
        <f>IF(AND(O360="Closed",AE360="OK"),TODAY(),"")</f>
        <v/>
      </c>
      <c r="AB360">
        <f>IF(F360="","",IFERROR(VLOOKUP(F360,Action_Templates!$A:$Q,13,FALSE),""))</f>
        <v/>
      </c>
      <c r="AC360">
        <f>IF(F360="","",IFERROR(VLOOKUP(F360,Action_Templates!$A:$Q,14,FALSE),""))</f>
        <v/>
      </c>
      <c r="AD360">
        <f>IF(F360="","",IFERROR(VLOOKUP(F360,Action_Templates!$A:$Q,15,FALSE),""))</f>
        <v/>
      </c>
      <c r="AE360">
        <f>IF(O360="","",IF(OR(O360&lt;&gt;"Closed",AND(P360="YES",T360="Accepted")),"OK","BLOCKED"))</f>
        <v/>
      </c>
      <c r="AF360">
        <f>IF(OR(AC360="",R360=""),"",IF(ISNUMBER(SEARCH(AC360,R360)),"OK","CHECK"))</f>
        <v/>
      </c>
    </row>
    <row r="361">
      <c r="W361">
        <f>IF(AND(O361="Closed",AE361="OK"),TODAY(),"")</f>
        <v/>
      </c>
      <c r="AB361">
        <f>IF(F361="","",IFERROR(VLOOKUP(F361,Action_Templates!$A:$Q,13,FALSE),""))</f>
        <v/>
      </c>
      <c r="AC361">
        <f>IF(F361="","",IFERROR(VLOOKUP(F361,Action_Templates!$A:$Q,14,FALSE),""))</f>
        <v/>
      </c>
      <c r="AD361">
        <f>IF(F361="","",IFERROR(VLOOKUP(F361,Action_Templates!$A:$Q,15,FALSE),""))</f>
        <v/>
      </c>
      <c r="AE361">
        <f>IF(O361="","",IF(OR(O361&lt;&gt;"Closed",AND(P361="YES",T361="Accepted")),"OK","BLOCKED"))</f>
        <v/>
      </c>
      <c r="AF361">
        <f>IF(OR(AC361="",R361=""),"",IF(ISNUMBER(SEARCH(AC361,R361)),"OK","CHECK"))</f>
        <v/>
      </c>
    </row>
    <row r="362">
      <c r="W362">
        <f>IF(AND(O362="Closed",AE362="OK"),TODAY(),"")</f>
        <v/>
      </c>
      <c r="AB362">
        <f>IF(F362="","",IFERROR(VLOOKUP(F362,Action_Templates!$A:$Q,13,FALSE),""))</f>
        <v/>
      </c>
      <c r="AC362">
        <f>IF(F362="","",IFERROR(VLOOKUP(F362,Action_Templates!$A:$Q,14,FALSE),""))</f>
        <v/>
      </c>
      <c r="AD362">
        <f>IF(F362="","",IFERROR(VLOOKUP(F362,Action_Templates!$A:$Q,15,FALSE),""))</f>
        <v/>
      </c>
      <c r="AE362">
        <f>IF(O362="","",IF(OR(O362&lt;&gt;"Closed",AND(P362="YES",T362="Accepted")),"OK","BLOCKED"))</f>
        <v/>
      </c>
      <c r="AF362">
        <f>IF(OR(AC362="",R362=""),"",IF(ISNUMBER(SEARCH(AC362,R362)),"OK","CHECK"))</f>
        <v/>
      </c>
    </row>
    <row r="363">
      <c r="W363">
        <f>IF(AND(O363="Closed",AE363="OK"),TODAY(),"")</f>
        <v/>
      </c>
      <c r="AB363">
        <f>IF(F363="","",IFERROR(VLOOKUP(F363,Action_Templates!$A:$Q,13,FALSE),""))</f>
        <v/>
      </c>
      <c r="AC363">
        <f>IF(F363="","",IFERROR(VLOOKUP(F363,Action_Templates!$A:$Q,14,FALSE),""))</f>
        <v/>
      </c>
      <c r="AD363">
        <f>IF(F363="","",IFERROR(VLOOKUP(F363,Action_Templates!$A:$Q,15,FALSE),""))</f>
        <v/>
      </c>
      <c r="AE363">
        <f>IF(O363="","",IF(OR(O363&lt;&gt;"Closed",AND(P363="YES",T363="Accepted")),"OK","BLOCKED"))</f>
        <v/>
      </c>
      <c r="AF363">
        <f>IF(OR(AC363="",R363=""),"",IF(ISNUMBER(SEARCH(AC363,R363)),"OK","CHECK"))</f>
        <v/>
      </c>
    </row>
    <row r="364">
      <c r="W364">
        <f>IF(AND(O364="Closed",AE364="OK"),TODAY(),"")</f>
        <v/>
      </c>
      <c r="AB364">
        <f>IF(F364="","",IFERROR(VLOOKUP(F364,Action_Templates!$A:$Q,13,FALSE),""))</f>
        <v/>
      </c>
      <c r="AC364">
        <f>IF(F364="","",IFERROR(VLOOKUP(F364,Action_Templates!$A:$Q,14,FALSE),""))</f>
        <v/>
      </c>
      <c r="AD364">
        <f>IF(F364="","",IFERROR(VLOOKUP(F364,Action_Templates!$A:$Q,15,FALSE),""))</f>
        <v/>
      </c>
      <c r="AE364">
        <f>IF(O364="","",IF(OR(O364&lt;&gt;"Closed",AND(P364="YES",T364="Accepted")),"OK","BLOCKED"))</f>
        <v/>
      </c>
      <c r="AF364">
        <f>IF(OR(AC364="",R364=""),"",IF(ISNUMBER(SEARCH(AC364,R364)),"OK","CHECK"))</f>
        <v/>
      </c>
    </row>
    <row r="365">
      <c r="W365">
        <f>IF(AND(O365="Closed",AE365="OK"),TODAY(),"")</f>
        <v/>
      </c>
      <c r="AB365">
        <f>IF(F365="","",IFERROR(VLOOKUP(F365,Action_Templates!$A:$Q,13,FALSE),""))</f>
        <v/>
      </c>
      <c r="AC365">
        <f>IF(F365="","",IFERROR(VLOOKUP(F365,Action_Templates!$A:$Q,14,FALSE),""))</f>
        <v/>
      </c>
      <c r="AD365">
        <f>IF(F365="","",IFERROR(VLOOKUP(F365,Action_Templates!$A:$Q,15,FALSE),""))</f>
        <v/>
      </c>
      <c r="AE365">
        <f>IF(O365="","",IF(OR(O365&lt;&gt;"Closed",AND(P365="YES",T365="Accepted")),"OK","BLOCKED"))</f>
        <v/>
      </c>
      <c r="AF365">
        <f>IF(OR(AC365="",R365=""),"",IF(ISNUMBER(SEARCH(AC365,R365)),"OK","CHECK"))</f>
        <v/>
      </c>
    </row>
    <row r="366">
      <c r="W366">
        <f>IF(AND(O366="Closed",AE366="OK"),TODAY(),"")</f>
        <v/>
      </c>
      <c r="AB366">
        <f>IF(F366="","",IFERROR(VLOOKUP(F366,Action_Templates!$A:$Q,13,FALSE),""))</f>
        <v/>
      </c>
      <c r="AC366">
        <f>IF(F366="","",IFERROR(VLOOKUP(F366,Action_Templates!$A:$Q,14,FALSE),""))</f>
        <v/>
      </c>
      <c r="AD366">
        <f>IF(F366="","",IFERROR(VLOOKUP(F366,Action_Templates!$A:$Q,15,FALSE),""))</f>
        <v/>
      </c>
      <c r="AE366">
        <f>IF(O366="","",IF(OR(O366&lt;&gt;"Closed",AND(P366="YES",T366="Accepted")),"OK","BLOCKED"))</f>
        <v/>
      </c>
      <c r="AF366">
        <f>IF(OR(AC366="",R366=""),"",IF(ISNUMBER(SEARCH(AC366,R366)),"OK","CHECK"))</f>
        <v/>
      </c>
    </row>
    <row r="367">
      <c r="W367">
        <f>IF(AND(O367="Closed",AE367="OK"),TODAY(),"")</f>
        <v/>
      </c>
      <c r="AB367">
        <f>IF(F367="","",IFERROR(VLOOKUP(F367,Action_Templates!$A:$Q,13,FALSE),""))</f>
        <v/>
      </c>
      <c r="AC367">
        <f>IF(F367="","",IFERROR(VLOOKUP(F367,Action_Templates!$A:$Q,14,FALSE),""))</f>
        <v/>
      </c>
      <c r="AD367">
        <f>IF(F367="","",IFERROR(VLOOKUP(F367,Action_Templates!$A:$Q,15,FALSE),""))</f>
        <v/>
      </c>
      <c r="AE367">
        <f>IF(O367="","",IF(OR(O367&lt;&gt;"Closed",AND(P367="YES",T367="Accepted")),"OK","BLOCKED"))</f>
        <v/>
      </c>
      <c r="AF367">
        <f>IF(OR(AC367="",R367=""),"",IF(ISNUMBER(SEARCH(AC367,R367)),"OK","CHECK"))</f>
        <v/>
      </c>
    </row>
    <row r="368">
      <c r="W368">
        <f>IF(AND(O368="Closed",AE368="OK"),TODAY(),"")</f>
        <v/>
      </c>
      <c r="AB368">
        <f>IF(F368="","",IFERROR(VLOOKUP(F368,Action_Templates!$A:$Q,13,FALSE),""))</f>
        <v/>
      </c>
      <c r="AC368">
        <f>IF(F368="","",IFERROR(VLOOKUP(F368,Action_Templates!$A:$Q,14,FALSE),""))</f>
        <v/>
      </c>
      <c r="AD368">
        <f>IF(F368="","",IFERROR(VLOOKUP(F368,Action_Templates!$A:$Q,15,FALSE),""))</f>
        <v/>
      </c>
      <c r="AE368">
        <f>IF(O368="","",IF(OR(O368&lt;&gt;"Closed",AND(P368="YES",T368="Accepted")),"OK","BLOCKED"))</f>
        <v/>
      </c>
      <c r="AF368">
        <f>IF(OR(AC368="",R368=""),"",IF(ISNUMBER(SEARCH(AC368,R368)),"OK","CHECK"))</f>
        <v/>
      </c>
    </row>
    <row r="369">
      <c r="W369">
        <f>IF(AND(O369="Closed",AE369="OK"),TODAY(),"")</f>
        <v/>
      </c>
      <c r="AB369">
        <f>IF(F369="","",IFERROR(VLOOKUP(F369,Action_Templates!$A:$Q,13,FALSE),""))</f>
        <v/>
      </c>
      <c r="AC369">
        <f>IF(F369="","",IFERROR(VLOOKUP(F369,Action_Templates!$A:$Q,14,FALSE),""))</f>
        <v/>
      </c>
      <c r="AD369">
        <f>IF(F369="","",IFERROR(VLOOKUP(F369,Action_Templates!$A:$Q,15,FALSE),""))</f>
        <v/>
      </c>
      <c r="AE369">
        <f>IF(O369="","",IF(OR(O369&lt;&gt;"Closed",AND(P369="YES",T369="Accepted")),"OK","BLOCKED"))</f>
        <v/>
      </c>
      <c r="AF369">
        <f>IF(OR(AC369="",R369=""),"",IF(ISNUMBER(SEARCH(AC369,R369)),"OK","CHECK"))</f>
        <v/>
      </c>
    </row>
    <row r="370">
      <c r="W370">
        <f>IF(AND(O370="Closed",AE370="OK"),TODAY(),"")</f>
        <v/>
      </c>
      <c r="AB370">
        <f>IF(F370="","",IFERROR(VLOOKUP(F370,Action_Templates!$A:$Q,13,FALSE),""))</f>
        <v/>
      </c>
      <c r="AC370">
        <f>IF(F370="","",IFERROR(VLOOKUP(F370,Action_Templates!$A:$Q,14,FALSE),""))</f>
        <v/>
      </c>
      <c r="AD370">
        <f>IF(F370="","",IFERROR(VLOOKUP(F370,Action_Templates!$A:$Q,15,FALSE),""))</f>
        <v/>
      </c>
      <c r="AE370">
        <f>IF(O370="","",IF(OR(O370&lt;&gt;"Closed",AND(P370="YES",T370="Accepted")),"OK","BLOCKED"))</f>
        <v/>
      </c>
      <c r="AF370">
        <f>IF(OR(AC370="",R370=""),"",IF(ISNUMBER(SEARCH(AC370,R370)),"OK","CHECK"))</f>
        <v/>
      </c>
    </row>
    <row r="371">
      <c r="W371">
        <f>IF(AND(O371="Closed",AE371="OK"),TODAY(),"")</f>
        <v/>
      </c>
      <c r="AB371">
        <f>IF(F371="","",IFERROR(VLOOKUP(F371,Action_Templates!$A:$Q,13,FALSE),""))</f>
        <v/>
      </c>
      <c r="AC371">
        <f>IF(F371="","",IFERROR(VLOOKUP(F371,Action_Templates!$A:$Q,14,FALSE),""))</f>
        <v/>
      </c>
      <c r="AD371">
        <f>IF(F371="","",IFERROR(VLOOKUP(F371,Action_Templates!$A:$Q,15,FALSE),""))</f>
        <v/>
      </c>
      <c r="AE371">
        <f>IF(O371="","",IF(OR(O371&lt;&gt;"Closed",AND(P371="YES",T371="Accepted")),"OK","BLOCKED"))</f>
        <v/>
      </c>
      <c r="AF371">
        <f>IF(OR(AC371="",R371=""),"",IF(ISNUMBER(SEARCH(AC371,R371)),"OK","CHECK"))</f>
        <v/>
      </c>
    </row>
    <row r="372">
      <c r="W372">
        <f>IF(AND(O372="Closed",AE372="OK"),TODAY(),"")</f>
        <v/>
      </c>
      <c r="AB372">
        <f>IF(F372="","",IFERROR(VLOOKUP(F372,Action_Templates!$A:$Q,13,FALSE),""))</f>
        <v/>
      </c>
      <c r="AC372">
        <f>IF(F372="","",IFERROR(VLOOKUP(F372,Action_Templates!$A:$Q,14,FALSE),""))</f>
        <v/>
      </c>
      <c r="AD372">
        <f>IF(F372="","",IFERROR(VLOOKUP(F372,Action_Templates!$A:$Q,15,FALSE),""))</f>
        <v/>
      </c>
      <c r="AE372">
        <f>IF(O372="","",IF(OR(O372&lt;&gt;"Closed",AND(P372="YES",T372="Accepted")),"OK","BLOCKED"))</f>
        <v/>
      </c>
      <c r="AF372">
        <f>IF(OR(AC372="",R372=""),"",IF(ISNUMBER(SEARCH(AC372,R372)),"OK","CHECK"))</f>
        <v/>
      </c>
    </row>
    <row r="373">
      <c r="W373">
        <f>IF(AND(O373="Closed",AE373="OK"),TODAY(),"")</f>
        <v/>
      </c>
      <c r="AB373">
        <f>IF(F373="","",IFERROR(VLOOKUP(F373,Action_Templates!$A:$Q,13,FALSE),""))</f>
        <v/>
      </c>
      <c r="AC373">
        <f>IF(F373="","",IFERROR(VLOOKUP(F373,Action_Templates!$A:$Q,14,FALSE),""))</f>
        <v/>
      </c>
      <c r="AD373">
        <f>IF(F373="","",IFERROR(VLOOKUP(F373,Action_Templates!$A:$Q,15,FALSE),""))</f>
        <v/>
      </c>
      <c r="AE373">
        <f>IF(O373="","",IF(OR(O373&lt;&gt;"Closed",AND(P373="YES",T373="Accepted")),"OK","BLOCKED"))</f>
        <v/>
      </c>
      <c r="AF373">
        <f>IF(OR(AC373="",R373=""),"",IF(ISNUMBER(SEARCH(AC373,R373)),"OK","CHECK"))</f>
        <v/>
      </c>
    </row>
    <row r="374">
      <c r="W374">
        <f>IF(AND(O374="Closed",AE374="OK"),TODAY(),"")</f>
        <v/>
      </c>
      <c r="AB374">
        <f>IF(F374="","",IFERROR(VLOOKUP(F374,Action_Templates!$A:$Q,13,FALSE),""))</f>
        <v/>
      </c>
      <c r="AC374">
        <f>IF(F374="","",IFERROR(VLOOKUP(F374,Action_Templates!$A:$Q,14,FALSE),""))</f>
        <v/>
      </c>
      <c r="AD374">
        <f>IF(F374="","",IFERROR(VLOOKUP(F374,Action_Templates!$A:$Q,15,FALSE),""))</f>
        <v/>
      </c>
      <c r="AE374">
        <f>IF(O374="","",IF(OR(O374&lt;&gt;"Closed",AND(P374="YES",T374="Accepted")),"OK","BLOCKED"))</f>
        <v/>
      </c>
      <c r="AF374">
        <f>IF(OR(AC374="",R374=""),"",IF(ISNUMBER(SEARCH(AC374,R374)),"OK","CHECK"))</f>
        <v/>
      </c>
    </row>
    <row r="375">
      <c r="W375">
        <f>IF(AND(O375="Closed",AE375="OK"),TODAY(),"")</f>
        <v/>
      </c>
      <c r="AB375">
        <f>IF(F375="","",IFERROR(VLOOKUP(F375,Action_Templates!$A:$Q,13,FALSE),""))</f>
        <v/>
      </c>
      <c r="AC375">
        <f>IF(F375="","",IFERROR(VLOOKUP(F375,Action_Templates!$A:$Q,14,FALSE),""))</f>
        <v/>
      </c>
      <c r="AD375">
        <f>IF(F375="","",IFERROR(VLOOKUP(F375,Action_Templates!$A:$Q,15,FALSE),""))</f>
        <v/>
      </c>
      <c r="AE375">
        <f>IF(O375="","",IF(OR(O375&lt;&gt;"Closed",AND(P375="YES",T375="Accepted")),"OK","BLOCKED"))</f>
        <v/>
      </c>
      <c r="AF375">
        <f>IF(OR(AC375="",R375=""),"",IF(ISNUMBER(SEARCH(AC375,R375)),"OK","CHECK"))</f>
        <v/>
      </c>
    </row>
    <row r="376">
      <c r="W376">
        <f>IF(AND(O376="Closed",AE376="OK"),TODAY(),"")</f>
        <v/>
      </c>
      <c r="AB376">
        <f>IF(F376="","",IFERROR(VLOOKUP(F376,Action_Templates!$A:$Q,13,FALSE),""))</f>
        <v/>
      </c>
      <c r="AC376">
        <f>IF(F376="","",IFERROR(VLOOKUP(F376,Action_Templates!$A:$Q,14,FALSE),""))</f>
        <v/>
      </c>
      <c r="AD376">
        <f>IF(F376="","",IFERROR(VLOOKUP(F376,Action_Templates!$A:$Q,15,FALSE),""))</f>
        <v/>
      </c>
      <c r="AE376">
        <f>IF(O376="","",IF(OR(O376&lt;&gt;"Closed",AND(P376="YES",T376="Accepted")),"OK","BLOCKED"))</f>
        <v/>
      </c>
      <c r="AF376">
        <f>IF(OR(AC376="",R376=""),"",IF(ISNUMBER(SEARCH(AC376,R376)),"OK","CHECK"))</f>
        <v/>
      </c>
    </row>
    <row r="377">
      <c r="W377">
        <f>IF(AND(O377="Closed",AE377="OK"),TODAY(),"")</f>
        <v/>
      </c>
      <c r="AB377">
        <f>IF(F377="","",IFERROR(VLOOKUP(F377,Action_Templates!$A:$Q,13,FALSE),""))</f>
        <v/>
      </c>
      <c r="AC377">
        <f>IF(F377="","",IFERROR(VLOOKUP(F377,Action_Templates!$A:$Q,14,FALSE),""))</f>
        <v/>
      </c>
      <c r="AD377">
        <f>IF(F377="","",IFERROR(VLOOKUP(F377,Action_Templates!$A:$Q,15,FALSE),""))</f>
        <v/>
      </c>
      <c r="AE377">
        <f>IF(O377="","",IF(OR(O377&lt;&gt;"Closed",AND(P377="YES",T377="Accepted")),"OK","BLOCKED"))</f>
        <v/>
      </c>
      <c r="AF377">
        <f>IF(OR(AC377="",R377=""),"",IF(ISNUMBER(SEARCH(AC377,R377)),"OK","CHECK"))</f>
        <v/>
      </c>
    </row>
    <row r="378">
      <c r="W378">
        <f>IF(AND(O378="Closed",AE378="OK"),TODAY(),"")</f>
        <v/>
      </c>
      <c r="AB378">
        <f>IF(F378="","",IFERROR(VLOOKUP(F378,Action_Templates!$A:$Q,13,FALSE),""))</f>
        <v/>
      </c>
      <c r="AC378">
        <f>IF(F378="","",IFERROR(VLOOKUP(F378,Action_Templates!$A:$Q,14,FALSE),""))</f>
        <v/>
      </c>
      <c r="AD378">
        <f>IF(F378="","",IFERROR(VLOOKUP(F378,Action_Templates!$A:$Q,15,FALSE),""))</f>
        <v/>
      </c>
      <c r="AE378">
        <f>IF(O378="","",IF(OR(O378&lt;&gt;"Closed",AND(P378="YES",T378="Accepted")),"OK","BLOCKED"))</f>
        <v/>
      </c>
      <c r="AF378">
        <f>IF(OR(AC378="",R378=""),"",IF(ISNUMBER(SEARCH(AC378,R378)),"OK","CHECK"))</f>
        <v/>
      </c>
    </row>
    <row r="379">
      <c r="W379">
        <f>IF(AND(O379="Closed",AE379="OK"),TODAY(),"")</f>
        <v/>
      </c>
      <c r="AB379">
        <f>IF(F379="","",IFERROR(VLOOKUP(F379,Action_Templates!$A:$Q,13,FALSE),""))</f>
        <v/>
      </c>
      <c r="AC379">
        <f>IF(F379="","",IFERROR(VLOOKUP(F379,Action_Templates!$A:$Q,14,FALSE),""))</f>
        <v/>
      </c>
      <c r="AD379">
        <f>IF(F379="","",IFERROR(VLOOKUP(F379,Action_Templates!$A:$Q,15,FALSE),""))</f>
        <v/>
      </c>
      <c r="AE379">
        <f>IF(O379="","",IF(OR(O379&lt;&gt;"Closed",AND(P379="YES",T379="Accepted")),"OK","BLOCKED"))</f>
        <v/>
      </c>
      <c r="AF379">
        <f>IF(OR(AC379="",R379=""),"",IF(ISNUMBER(SEARCH(AC379,R379)),"OK","CHECK"))</f>
        <v/>
      </c>
    </row>
    <row r="380">
      <c r="W380">
        <f>IF(AND(O380="Closed",AE380="OK"),TODAY(),"")</f>
        <v/>
      </c>
      <c r="AB380">
        <f>IF(F380="","",IFERROR(VLOOKUP(F380,Action_Templates!$A:$Q,13,FALSE),""))</f>
        <v/>
      </c>
      <c r="AC380">
        <f>IF(F380="","",IFERROR(VLOOKUP(F380,Action_Templates!$A:$Q,14,FALSE),""))</f>
        <v/>
      </c>
      <c r="AD380">
        <f>IF(F380="","",IFERROR(VLOOKUP(F380,Action_Templates!$A:$Q,15,FALSE),""))</f>
        <v/>
      </c>
      <c r="AE380">
        <f>IF(O380="","",IF(OR(O380&lt;&gt;"Closed",AND(P380="YES",T380="Accepted")),"OK","BLOCKED"))</f>
        <v/>
      </c>
      <c r="AF380">
        <f>IF(OR(AC380="",R380=""),"",IF(ISNUMBER(SEARCH(AC380,R380)),"OK","CHECK"))</f>
        <v/>
      </c>
    </row>
    <row r="381">
      <c r="W381">
        <f>IF(AND(O381="Closed",AE381="OK"),TODAY(),"")</f>
        <v/>
      </c>
      <c r="AB381">
        <f>IF(F381="","",IFERROR(VLOOKUP(F381,Action_Templates!$A:$Q,13,FALSE),""))</f>
        <v/>
      </c>
      <c r="AC381">
        <f>IF(F381="","",IFERROR(VLOOKUP(F381,Action_Templates!$A:$Q,14,FALSE),""))</f>
        <v/>
      </c>
      <c r="AD381">
        <f>IF(F381="","",IFERROR(VLOOKUP(F381,Action_Templates!$A:$Q,15,FALSE),""))</f>
        <v/>
      </c>
      <c r="AE381">
        <f>IF(O381="","",IF(OR(O381&lt;&gt;"Closed",AND(P381="YES",T381="Accepted")),"OK","BLOCKED"))</f>
        <v/>
      </c>
      <c r="AF381">
        <f>IF(OR(AC381="",R381=""),"",IF(ISNUMBER(SEARCH(AC381,R381)),"OK","CHECK"))</f>
        <v/>
      </c>
    </row>
    <row r="382">
      <c r="W382">
        <f>IF(AND(O382="Closed",AE382="OK"),TODAY(),"")</f>
        <v/>
      </c>
      <c r="AB382">
        <f>IF(F382="","",IFERROR(VLOOKUP(F382,Action_Templates!$A:$Q,13,FALSE),""))</f>
        <v/>
      </c>
      <c r="AC382">
        <f>IF(F382="","",IFERROR(VLOOKUP(F382,Action_Templates!$A:$Q,14,FALSE),""))</f>
        <v/>
      </c>
      <c r="AD382">
        <f>IF(F382="","",IFERROR(VLOOKUP(F382,Action_Templates!$A:$Q,15,FALSE),""))</f>
        <v/>
      </c>
      <c r="AE382">
        <f>IF(O382="","",IF(OR(O382&lt;&gt;"Closed",AND(P382="YES",T382="Accepted")),"OK","BLOCKED"))</f>
        <v/>
      </c>
      <c r="AF382">
        <f>IF(OR(AC382="",R382=""),"",IF(ISNUMBER(SEARCH(AC382,R382)),"OK","CHECK"))</f>
        <v/>
      </c>
    </row>
    <row r="383">
      <c r="W383">
        <f>IF(AND(O383="Closed",AE383="OK"),TODAY(),"")</f>
        <v/>
      </c>
      <c r="AB383">
        <f>IF(F383="","",IFERROR(VLOOKUP(F383,Action_Templates!$A:$Q,13,FALSE),""))</f>
        <v/>
      </c>
      <c r="AC383">
        <f>IF(F383="","",IFERROR(VLOOKUP(F383,Action_Templates!$A:$Q,14,FALSE),""))</f>
        <v/>
      </c>
      <c r="AD383">
        <f>IF(F383="","",IFERROR(VLOOKUP(F383,Action_Templates!$A:$Q,15,FALSE),""))</f>
        <v/>
      </c>
      <c r="AE383">
        <f>IF(O383="","",IF(OR(O383&lt;&gt;"Closed",AND(P383="YES",T383="Accepted")),"OK","BLOCKED"))</f>
        <v/>
      </c>
      <c r="AF383">
        <f>IF(OR(AC383="",R383=""),"",IF(ISNUMBER(SEARCH(AC383,R383)),"OK","CHECK"))</f>
        <v/>
      </c>
    </row>
    <row r="384">
      <c r="W384">
        <f>IF(AND(O384="Closed",AE384="OK"),TODAY(),"")</f>
        <v/>
      </c>
      <c r="AB384">
        <f>IF(F384="","",IFERROR(VLOOKUP(F384,Action_Templates!$A:$Q,13,FALSE),""))</f>
        <v/>
      </c>
      <c r="AC384">
        <f>IF(F384="","",IFERROR(VLOOKUP(F384,Action_Templates!$A:$Q,14,FALSE),""))</f>
        <v/>
      </c>
      <c r="AD384">
        <f>IF(F384="","",IFERROR(VLOOKUP(F384,Action_Templates!$A:$Q,15,FALSE),""))</f>
        <v/>
      </c>
      <c r="AE384">
        <f>IF(O384="","",IF(OR(O384&lt;&gt;"Closed",AND(P384="YES",T384="Accepted")),"OK","BLOCKED"))</f>
        <v/>
      </c>
      <c r="AF384">
        <f>IF(OR(AC384="",R384=""),"",IF(ISNUMBER(SEARCH(AC384,R384)),"OK","CHECK"))</f>
        <v/>
      </c>
    </row>
    <row r="385">
      <c r="W385">
        <f>IF(AND(O385="Closed",AE385="OK"),TODAY(),"")</f>
        <v/>
      </c>
      <c r="AB385">
        <f>IF(F385="","",IFERROR(VLOOKUP(F385,Action_Templates!$A:$Q,13,FALSE),""))</f>
        <v/>
      </c>
      <c r="AC385">
        <f>IF(F385="","",IFERROR(VLOOKUP(F385,Action_Templates!$A:$Q,14,FALSE),""))</f>
        <v/>
      </c>
      <c r="AD385">
        <f>IF(F385="","",IFERROR(VLOOKUP(F385,Action_Templates!$A:$Q,15,FALSE),""))</f>
        <v/>
      </c>
      <c r="AE385">
        <f>IF(O385="","",IF(OR(O385&lt;&gt;"Closed",AND(P385="YES",T385="Accepted")),"OK","BLOCKED"))</f>
        <v/>
      </c>
      <c r="AF385">
        <f>IF(OR(AC385="",R385=""),"",IF(ISNUMBER(SEARCH(AC385,R385)),"OK","CHECK"))</f>
        <v/>
      </c>
    </row>
    <row r="386">
      <c r="W386">
        <f>IF(AND(O386="Closed",AE386="OK"),TODAY(),"")</f>
        <v/>
      </c>
      <c r="AB386">
        <f>IF(F386="","",IFERROR(VLOOKUP(F386,Action_Templates!$A:$Q,13,FALSE),""))</f>
        <v/>
      </c>
      <c r="AC386">
        <f>IF(F386="","",IFERROR(VLOOKUP(F386,Action_Templates!$A:$Q,14,FALSE),""))</f>
        <v/>
      </c>
      <c r="AD386">
        <f>IF(F386="","",IFERROR(VLOOKUP(F386,Action_Templates!$A:$Q,15,FALSE),""))</f>
        <v/>
      </c>
      <c r="AE386">
        <f>IF(O386="","",IF(OR(O386&lt;&gt;"Closed",AND(P386="YES",T386="Accepted")),"OK","BLOCKED"))</f>
        <v/>
      </c>
      <c r="AF386">
        <f>IF(OR(AC386="",R386=""),"",IF(ISNUMBER(SEARCH(AC386,R386)),"OK","CHECK"))</f>
        <v/>
      </c>
    </row>
    <row r="387">
      <c r="W387">
        <f>IF(AND(O387="Closed",AE387="OK"),TODAY(),"")</f>
        <v/>
      </c>
      <c r="AB387">
        <f>IF(F387="","",IFERROR(VLOOKUP(F387,Action_Templates!$A:$Q,13,FALSE),""))</f>
        <v/>
      </c>
      <c r="AC387">
        <f>IF(F387="","",IFERROR(VLOOKUP(F387,Action_Templates!$A:$Q,14,FALSE),""))</f>
        <v/>
      </c>
      <c r="AD387">
        <f>IF(F387="","",IFERROR(VLOOKUP(F387,Action_Templates!$A:$Q,15,FALSE),""))</f>
        <v/>
      </c>
      <c r="AE387">
        <f>IF(O387="","",IF(OR(O387&lt;&gt;"Closed",AND(P387="YES",T387="Accepted")),"OK","BLOCKED"))</f>
        <v/>
      </c>
      <c r="AF387">
        <f>IF(OR(AC387="",R387=""),"",IF(ISNUMBER(SEARCH(AC387,R387)),"OK","CHECK"))</f>
        <v/>
      </c>
    </row>
    <row r="388">
      <c r="W388">
        <f>IF(AND(O388="Closed",AE388="OK"),TODAY(),"")</f>
        <v/>
      </c>
      <c r="AB388">
        <f>IF(F388="","",IFERROR(VLOOKUP(F388,Action_Templates!$A:$Q,13,FALSE),""))</f>
        <v/>
      </c>
      <c r="AC388">
        <f>IF(F388="","",IFERROR(VLOOKUP(F388,Action_Templates!$A:$Q,14,FALSE),""))</f>
        <v/>
      </c>
      <c r="AD388">
        <f>IF(F388="","",IFERROR(VLOOKUP(F388,Action_Templates!$A:$Q,15,FALSE),""))</f>
        <v/>
      </c>
      <c r="AE388">
        <f>IF(O388="","",IF(OR(O388&lt;&gt;"Closed",AND(P388="YES",T388="Accepted")),"OK","BLOCKED"))</f>
        <v/>
      </c>
      <c r="AF388">
        <f>IF(OR(AC388="",R388=""),"",IF(ISNUMBER(SEARCH(AC388,R388)),"OK","CHECK"))</f>
        <v/>
      </c>
    </row>
    <row r="389">
      <c r="W389">
        <f>IF(AND(O389="Closed",AE389="OK"),TODAY(),"")</f>
        <v/>
      </c>
      <c r="AB389">
        <f>IF(F389="","",IFERROR(VLOOKUP(F389,Action_Templates!$A:$Q,13,FALSE),""))</f>
        <v/>
      </c>
      <c r="AC389">
        <f>IF(F389="","",IFERROR(VLOOKUP(F389,Action_Templates!$A:$Q,14,FALSE),""))</f>
        <v/>
      </c>
      <c r="AD389">
        <f>IF(F389="","",IFERROR(VLOOKUP(F389,Action_Templates!$A:$Q,15,FALSE),""))</f>
        <v/>
      </c>
      <c r="AE389">
        <f>IF(O389="","",IF(OR(O389&lt;&gt;"Closed",AND(P389="YES",T389="Accepted")),"OK","BLOCKED"))</f>
        <v/>
      </c>
      <c r="AF389">
        <f>IF(OR(AC389="",R389=""),"",IF(ISNUMBER(SEARCH(AC389,R389)),"OK","CHECK"))</f>
        <v/>
      </c>
    </row>
    <row r="390">
      <c r="W390">
        <f>IF(AND(O390="Closed",AE390="OK"),TODAY(),"")</f>
        <v/>
      </c>
      <c r="AB390">
        <f>IF(F390="","",IFERROR(VLOOKUP(F390,Action_Templates!$A:$Q,13,FALSE),""))</f>
        <v/>
      </c>
      <c r="AC390">
        <f>IF(F390="","",IFERROR(VLOOKUP(F390,Action_Templates!$A:$Q,14,FALSE),""))</f>
        <v/>
      </c>
      <c r="AD390">
        <f>IF(F390="","",IFERROR(VLOOKUP(F390,Action_Templates!$A:$Q,15,FALSE),""))</f>
        <v/>
      </c>
      <c r="AE390">
        <f>IF(O390="","",IF(OR(O390&lt;&gt;"Closed",AND(P390="YES",T390="Accepted")),"OK","BLOCKED"))</f>
        <v/>
      </c>
      <c r="AF390">
        <f>IF(OR(AC390="",R390=""),"",IF(ISNUMBER(SEARCH(AC390,R390)),"OK","CHECK"))</f>
        <v/>
      </c>
    </row>
    <row r="391">
      <c r="W391">
        <f>IF(AND(O391="Closed",AE391="OK"),TODAY(),"")</f>
        <v/>
      </c>
      <c r="AB391">
        <f>IF(F391="","",IFERROR(VLOOKUP(F391,Action_Templates!$A:$Q,13,FALSE),""))</f>
        <v/>
      </c>
      <c r="AC391">
        <f>IF(F391="","",IFERROR(VLOOKUP(F391,Action_Templates!$A:$Q,14,FALSE),""))</f>
        <v/>
      </c>
      <c r="AD391">
        <f>IF(F391="","",IFERROR(VLOOKUP(F391,Action_Templates!$A:$Q,15,FALSE),""))</f>
        <v/>
      </c>
      <c r="AE391">
        <f>IF(O391="","",IF(OR(O391&lt;&gt;"Closed",AND(P391="YES",T391="Accepted")),"OK","BLOCKED"))</f>
        <v/>
      </c>
      <c r="AF391">
        <f>IF(OR(AC391="",R391=""),"",IF(ISNUMBER(SEARCH(AC391,R391)),"OK","CHECK"))</f>
        <v/>
      </c>
    </row>
    <row r="392">
      <c r="W392">
        <f>IF(AND(O392="Closed",AE392="OK"),TODAY(),"")</f>
        <v/>
      </c>
      <c r="AB392">
        <f>IF(F392="","",IFERROR(VLOOKUP(F392,Action_Templates!$A:$Q,13,FALSE),""))</f>
        <v/>
      </c>
      <c r="AC392">
        <f>IF(F392="","",IFERROR(VLOOKUP(F392,Action_Templates!$A:$Q,14,FALSE),""))</f>
        <v/>
      </c>
      <c r="AD392">
        <f>IF(F392="","",IFERROR(VLOOKUP(F392,Action_Templates!$A:$Q,15,FALSE),""))</f>
        <v/>
      </c>
      <c r="AE392">
        <f>IF(O392="","",IF(OR(O392&lt;&gt;"Closed",AND(P392="YES",T392="Accepted")),"OK","BLOCKED"))</f>
        <v/>
      </c>
      <c r="AF392">
        <f>IF(OR(AC392="",R392=""),"",IF(ISNUMBER(SEARCH(AC392,R392)),"OK","CHECK"))</f>
        <v/>
      </c>
    </row>
    <row r="393">
      <c r="W393">
        <f>IF(AND(O393="Closed",AE393="OK"),TODAY(),"")</f>
        <v/>
      </c>
      <c r="AB393">
        <f>IF(F393="","",IFERROR(VLOOKUP(F393,Action_Templates!$A:$Q,13,FALSE),""))</f>
        <v/>
      </c>
      <c r="AC393">
        <f>IF(F393="","",IFERROR(VLOOKUP(F393,Action_Templates!$A:$Q,14,FALSE),""))</f>
        <v/>
      </c>
      <c r="AD393">
        <f>IF(F393="","",IFERROR(VLOOKUP(F393,Action_Templates!$A:$Q,15,FALSE),""))</f>
        <v/>
      </c>
      <c r="AE393">
        <f>IF(O393="","",IF(OR(O393&lt;&gt;"Closed",AND(P393="YES",T393="Accepted")),"OK","BLOCKED"))</f>
        <v/>
      </c>
      <c r="AF393">
        <f>IF(OR(AC393="",R393=""),"",IF(ISNUMBER(SEARCH(AC393,R393)),"OK","CHECK"))</f>
        <v/>
      </c>
    </row>
    <row r="394">
      <c r="W394">
        <f>IF(AND(O394="Closed",AE394="OK"),TODAY(),"")</f>
        <v/>
      </c>
      <c r="AB394">
        <f>IF(F394="","",IFERROR(VLOOKUP(F394,Action_Templates!$A:$Q,13,FALSE),""))</f>
        <v/>
      </c>
      <c r="AC394">
        <f>IF(F394="","",IFERROR(VLOOKUP(F394,Action_Templates!$A:$Q,14,FALSE),""))</f>
        <v/>
      </c>
      <c r="AD394">
        <f>IF(F394="","",IFERROR(VLOOKUP(F394,Action_Templates!$A:$Q,15,FALSE),""))</f>
        <v/>
      </c>
      <c r="AE394">
        <f>IF(O394="","",IF(OR(O394&lt;&gt;"Closed",AND(P394="YES",T394="Accepted")),"OK","BLOCKED"))</f>
        <v/>
      </c>
      <c r="AF394">
        <f>IF(OR(AC394="",R394=""),"",IF(ISNUMBER(SEARCH(AC394,R394)),"OK","CHECK"))</f>
        <v/>
      </c>
    </row>
    <row r="395">
      <c r="W395">
        <f>IF(AND(O395="Closed",AE395="OK"),TODAY(),"")</f>
        <v/>
      </c>
      <c r="AB395">
        <f>IF(F395="","",IFERROR(VLOOKUP(F395,Action_Templates!$A:$Q,13,FALSE),""))</f>
        <v/>
      </c>
      <c r="AC395">
        <f>IF(F395="","",IFERROR(VLOOKUP(F395,Action_Templates!$A:$Q,14,FALSE),""))</f>
        <v/>
      </c>
      <c r="AD395">
        <f>IF(F395="","",IFERROR(VLOOKUP(F395,Action_Templates!$A:$Q,15,FALSE),""))</f>
        <v/>
      </c>
      <c r="AE395">
        <f>IF(O395="","",IF(OR(O395&lt;&gt;"Closed",AND(P395="YES",T395="Accepted")),"OK","BLOCKED"))</f>
        <v/>
      </c>
      <c r="AF395">
        <f>IF(OR(AC395="",R395=""),"",IF(ISNUMBER(SEARCH(AC395,R395)),"OK","CHECK"))</f>
        <v/>
      </c>
    </row>
    <row r="396">
      <c r="W396">
        <f>IF(AND(O396="Closed",AE396="OK"),TODAY(),"")</f>
        <v/>
      </c>
      <c r="AB396">
        <f>IF(F396="","",IFERROR(VLOOKUP(F396,Action_Templates!$A:$Q,13,FALSE),""))</f>
        <v/>
      </c>
      <c r="AC396">
        <f>IF(F396="","",IFERROR(VLOOKUP(F396,Action_Templates!$A:$Q,14,FALSE),""))</f>
        <v/>
      </c>
      <c r="AD396">
        <f>IF(F396="","",IFERROR(VLOOKUP(F396,Action_Templates!$A:$Q,15,FALSE),""))</f>
        <v/>
      </c>
      <c r="AE396">
        <f>IF(O396="","",IF(OR(O396&lt;&gt;"Closed",AND(P396="YES",T396="Accepted")),"OK","BLOCKED"))</f>
        <v/>
      </c>
      <c r="AF396">
        <f>IF(OR(AC396="",R396=""),"",IF(ISNUMBER(SEARCH(AC396,R396)),"OK","CHECK"))</f>
        <v/>
      </c>
    </row>
    <row r="397">
      <c r="W397">
        <f>IF(AND(O397="Closed",AE397="OK"),TODAY(),"")</f>
        <v/>
      </c>
      <c r="AB397">
        <f>IF(F397="","",IFERROR(VLOOKUP(F397,Action_Templates!$A:$Q,13,FALSE),""))</f>
        <v/>
      </c>
      <c r="AC397">
        <f>IF(F397="","",IFERROR(VLOOKUP(F397,Action_Templates!$A:$Q,14,FALSE),""))</f>
        <v/>
      </c>
      <c r="AD397">
        <f>IF(F397="","",IFERROR(VLOOKUP(F397,Action_Templates!$A:$Q,15,FALSE),""))</f>
        <v/>
      </c>
      <c r="AE397">
        <f>IF(O397="","",IF(OR(O397&lt;&gt;"Closed",AND(P397="YES",T397="Accepted")),"OK","BLOCKED"))</f>
        <v/>
      </c>
      <c r="AF397">
        <f>IF(OR(AC397="",R397=""),"",IF(ISNUMBER(SEARCH(AC397,R397)),"OK","CHECK"))</f>
        <v/>
      </c>
    </row>
    <row r="398">
      <c r="W398">
        <f>IF(AND(O398="Closed",AE398="OK"),TODAY(),"")</f>
        <v/>
      </c>
      <c r="AB398">
        <f>IF(F398="","",IFERROR(VLOOKUP(F398,Action_Templates!$A:$Q,13,FALSE),""))</f>
        <v/>
      </c>
      <c r="AC398">
        <f>IF(F398="","",IFERROR(VLOOKUP(F398,Action_Templates!$A:$Q,14,FALSE),""))</f>
        <v/>
      </c>
      <c r="AD398">
        <f>IF(F398="","",IFERROR(VLOOKUP(F398,Action_Templates!$A:$Q,15,FALSE),""))</f>
        <v/>
      </c>
      <c r="AE398">
        <f>IF(O398="","",IF(OR(O398&lt;&gt;"Closed",AND(P398="YES",T398="Accepted")),"OK","BLOCKED"))</f>
        <v/>
      </c>
      <c r="AF398">
        <f>IF(OR(AC398="",R398=""),"",IF(ISNUMBER(SEARCH(AC398,R398)),"OK","CHECK"))</f>
        <v/>
      </c>
    </row>
    <row r="399">
      <c r="W399">
        <f>IF(AND(O399="Closed",AE399="OK"),TODAY(),"")</f>
        <v/>
      </c>
      <c r="AB399">
        <f>IF(F399="","",IFERROR(VLOOKUP(F399,Action_Templates!$A:$Q,13,FALSE),""))</f>
        <v/>
      </c>
      <c r="AC399">
        <f>IF(F399="","",IFERROR(VLOOKUP(F399,Action_Templates!$A:$Q,14,FALSE),""))</f>
        <v/>
      </c>
      <c r="AD399">
        <f>IF(F399="","",IFERROR(VLOOKUP(F399,Action_Templates!$A:$Q,15,FALSE),""))</f>
        <v/>
      </c>
      <c r="AE399">
        <f>IF(O399="","",IF(OR(O399&lt;&gt;"Closed",AND(P399="YES",T399="Accepted")),"OK","BLOCKED"))</f>
        <v/>
      </c>
      <c r="AF399">
        <f>IF(OR(AC399="",R399=""),"",IF(ISNUMBER(SEARCH(AC399,R399)),"OK","CHECK"))</f>
        <v/>
      </c>
    </row>
    <row r="400">
      <c r="W400">
        <f>IF(AND(O400="Closed",AE400="OK"),TODAY(),"")</f>
        <v/>
      </c>
      <c r="AB400">
        <f>IF(F400="","",IFERROR(VLOOKUP(F400,Action_Templates!$A:$Q,13,FALSE),""))</f>
        <v/>
      </c>
      <c r="AC400">
        <f>IF(F400="","",IFERROR(VLOOKUP(F400,Action_Templates!$A:$Q,14,FALSE),""))</f>
        <v/>
      </c>
      <c r="AD400">
        <f>IF(F400="","",IFERROR(VLOOKUP(F400,Action_Templates!$A:$Q,15,FALSE),""))</f>
        <v/>
      </c>
      <c r="AE400">
        <f>IF(O400="","",IF(OR(O400&lt;&gt;"Closed",AND(P400="YES",T400="Accepted")),"OK","BLOCKED"))</f>
        <v/>
      </c>
      <c r="AF400">
        <f>IF(OR(AC400="",R400=""),"",IF(ISNUMBER(SEARCH(AC400,R400)),"OK","CHECK"))</f>
        <v/>
      </c>
    </row>
    <row r="401">
      <c r="W401">
        <f>IF(AND(O401="Closed",AE401="OK"),TODAY(),"")</f>
        <v/>
      </c>
      <c r="AB401">
        <f>IF(F401="","",IFERROR(VLOOKUP(F401,Action_Templates!$A:$Q,13,FALSE),""))</f>
        <v/>
      </c>
      <c r="AC401">
        <f>IF(F401="","",IFERROR(VLOOKUP(F401,Action_Templates!$A:$Q,14,FALSE),""))</f>
        <v/>
      </c>
      <c r="AD401">
        <f>IF(F401="","",IFERROR(VLOOKUP(F401,Action_Templates!$A:$Q,15,FALSE),""))</f>
        <v/>
      </c>
      <c r="AE401">
        <f>IF(O401="","",IF(OR(O401&lt;&gt;"Closed",AND(P401="YES",T401="Accepted")),"OK","BLOCKED"))</f>
        <v/>
      </c>
      <c r="AF401">
        <f>IF(OR(AC401="",R401=""),"",IF(ISNUMBER(SEARCH(AC401,R401)),"OK","CHECK"))</f>
        <v/>
      </c>
    </row>
    <row r="402">
      <c r="W402">
        <f>IF(AND(O402="Closed",AE402="OK"),TODAY(),"")</f>
        <v/>
      </c>
      <c r="AB402">
        <f>IF(F402="","",IFERROR(VLOOKUP(F402,Action_Templates!$A:$Q,13,FALSE),""))</f>
        <v/>
      </c>
      <c r="AC402">
        <f>IF(F402="","",IFERROR(VLOOKUP(F402,Action_Templates!$A:$Q,14,FALSE),""))</f>
        <v/>
      </c>
      <c r="AD402">
        <f>IF(F402="","",IFERROR(VLOOKUP(F402,Action_Templates!$A:$Q,15,FALSE),""))</f>
        <v/>
      </c>
      <c r="AE402">
        <f>IF(O402="","",IF(OR(O402&lt;&gt;"Closed",AND(P402="YES",T402="Accepted")),"OK","BLOCKED"))</f>
        <v/>
      </c>
      <c r="AF402">
        <f>IF(OR(AC402="",R402=""),"",IF(ISNUMBER(SEARCH(AC402,R402)),"OK","CHECK"))</f>
        <v/>
      </c>
    </row>
    <row r="403">
      <c r="W403">
        <f>IF(AND(O403="Closed",AE403="OK"),TODAY(),"")</f>
        <v/>
      </c>
      <c r="AB403">
        <f>IF(F403="","",IFERROR(VLOOKUP(F403,Action_Templates!$A:$Q,13,FALSE),""))</f>
        <v/>
      </c>
      <c r="AC403">
        <f>IF(F403="","",IFERROR(VLOOKUP(F403,Action_Templates!$A:$Q,14,FALSE),""))</f>
        <v/>
      </c>
      <c r="AD403">
        <f>IF(F403="","",IFERROR(VLOOKUP(F403,Action_Templates!$A:$Q,15,FALSE),""))</f>
        <v/>
      </c>
      <c r="AE403">
        <f>IF(O403="","",IF(OR(O403&lt;&gt;"Closed",AND(P403="YES",T403="Accepted")),"OK","BLOCKED"))</f>
        <v/>
      </c>
      <c r="AF403">
        <f>IF(OR(AC403="",R403=""),"",IF(ISNUMBER(SEARCH(AC403,R403)),"OK","CHECK"))</f>
        <v/>
      </c>
    </row>
    <row r="404">
      <c r="W404">
        <f>IF(AND(O404="Closed",AE404="OK"),TODAY(),"")</f>
        <v/>
      </c>
      <c r="AB404">
        <f>IF(F404="","",IFERROR(VLOOKUP(F404,Action_Templates!$A:$Q,13,FALSE),""))</f>
        <v/>
      </c>
      <c r="AC404">
        <f>IF(F404="","",IFERROR(VLOOKUP(F404,Action_Templates!$A:$Q,14,FALSE),""))</f>
        <v/>
      </c>
      <c r="AD404">
        <f>IF(F404="","",IFERROR(VLOOKUP(F404,Action_Templates!$A:$Q,15,FALSE),""))</f>
        <v/>
      </c>
      <c r="AE404">
        <f>IF(O404="","",IF(OR(O404&lt;&gt;"Closed",AND(P404="YES",T404="Accepted")),"OK","BLOCKED"))</f>
        <v/>
      </c>
      <c r="AF404">
        <f>IF(OR(AC404="",R404=""),"",IF(ISNUMBER(SEARCH(AC404,R404)),"OK","CHECK"))</f>
        <v/>
      </c>
    </row>
    <row r="405">
      <c r="W405">
        <f>IF(AND(O405="Closed",AE405="OK"),TODAY(),"")</f>
        <v/>
      </c>
      <c r="AB405">
        <f>IF(F405="","",IFERROR(VLOOKUP(F405,Action_Templates!$A:$Q,13,FALSE),""))</f>
        <v/>
      </c>
      <c r="AC405">
        <f>IF(F405="","",IFERROR(VLOOKUP(F405,Action_Templates!$A:$Q,14,FALSE),""))</f>
        <v/>
      </c>
      <c r="AD405">
        <f>IF(F405="","",IFERROR(VLOOKUP(F405,Action_Templates!$A:$Q,15,FALSE),""))</f>
        <v/>
      </c>
      <c r="AE405">
        <f>IF(O405="","",IF(OR(O405&lt;&gt;"Closed",AND(P405="YES",T405="Accepted")),"OK","BLOCKED"))</f>
        <v/>
      </c>
      <c r="AF405">
        <f>IF(OR(AC405="",R405=""),"",IF(ISNUMBER(SEARCH(AC405,R405)),"OK","CHECK"))</f>
        <v/>
      </c>
    </row>
    <row r="406">
      <c r="W406">
        <f>IF(AND(O406="Closed",AE406="OK"),TODAY(),"")</f>
        <v/>
      </c>
      <c r="AB406">
        <f>IF(F406="","",IFERROR(VLOOKUP(F406,Action_Templates!$A:$Q,13,FALSE),""))</f>
        <v/>
      </c>
      <c r="AC406">
        <f>IF(F406="","",IFERROR(VLOOKUP(F406,Action_Templates!$A:$Q,14,FALSE),""))</f>
        <v/>
      </c>
      <c r="AD406">
        <f>IF(F406="","",IFERROR(VLOOKUP(F406,Action_Templates!$A:$Q,15,FALSE),""))</f>
        <v/>
      </c>
      <c r="AE406">
        <f>IF(O406="","",IF(OR(O406&lt;&gt;"Closed",AND(P406="YES",T406="Accepted")),"OK","BLOCKED"))</f>
        <v/>
      </c>
      <c r="AF406">
        <f>IF(OR(AC406="",R406=""),"",IF(ISNUMBER(SEARCH(AC406,R406)),"OK","CHECK"))</f>
        <v/>
      </c>
    </row>
    <row r="407">
      <c r="W407">
        <f>IF(AND(O407="Closed",AE407="OK"),TODAY(),"")</f>
        <v/>
      </c>
      <c r="AB407">
        <f>IF(F407="","",IFERROR(VLOOKUP(F407,Action_Templates!$A:$Q,13,FALSE),""))</f>
        <v/>
      </c>
      <c r="AC407">
        <f>IF(F407="","",IFERROR(VLOOKUP(F407,Action_Templates!$A:$Q,14,FALSE),""))</f>
        <v/>
      </c>
      <c r="AD407">
        <f>IF(F407="","",IFERROR(VLOOKUP(F407,Action_Templates!$A:$Q,15,FALSE),""))</f>
        <v/>
      </c>
      <c r="AE407">
        <f>IF(O407="","",IF(OR(O407&lt;&gt;"Closed",AND(P407="YES",T407="Accepted")),"OK","BLOCKED"))</f>
        <v/>
      </c>
      <c r="AF407">
        <f>IF(OR(AC407="",R407=""),"",IF(ISNUMBER(SEARCH(AC407,R407)),"OK","CHECK"))</f>
        <v/>
      </c>
    </row>
    <row r="408">
      <c r="W408">
        <f>IF(AND(O408="Closed",AE408="OK"),TODAY(),"")</f>
        <v/>
      </c>
      <c r="AB408">
        <f>IF(F408="","",IFERROR(VLOOKUP(F408,Action_Templates!$A:$Q,13,FALSE),""))</f>
        <v/>
      </c>
      <c r="AC408">
        <f>IF(F408="","",IFERROR(VLOOKUP(F408,Action_Templates!$A:$Q,14,FALSE),""))</f>
        <v/>
      </c>
      <c r="AD408">
        <f>IF(F408="","",IFERROR(VLOOKUP(F408,Action_Templates!$A:$Q,15,FALSE),""))</f>
        <v/>
      </c>
      <c r="AE408">
        <f>IF(O408="","",IF(OR(O408&lt;&gt;"Closed",AND(P408="YES",T408="Accepted")),"OK","BLOCKED"))</f>
        <v/>
      </c>
      <c r="AF408">
        <f>IF(OR(AC408="",R408=""),"",IF(ISNUMBER(SEARCH(AC408,R408)),"OK","CHECK"))</f>
        <v/>
      </c>
    </row>
    <row r="409">
      <c r="W409">
        <f>IF(AND(O409="Closed",AE409="OK"),TODAY(),"")</f>
        <v/>
      </c>
      <c r="AB409">
        <f>IF(F409="","",IFERROR(VLOOKUP(F409,Action_Templates!$A:$Q,13,FALSE),""))</f>
        <v/>
      </c>
      <c r="AC409">
        <f>IF(F409="","",IFERROR(VLOOKUP(F409,Action_Templates!$A:$Q,14,FALSE),""))</f>
        <v/>
      </c>
      <c r="AD409">
        <f>IF(F409="","",IFERROR(VLOOKUP(F409,Action_Templates!$A:$Q,15,FALSE),""))</f>
        <v/>
      </c>
      <c r="AE409">
        <f>IF(O409="","",IF(OR(O409&lt;&gt;"Closed",AND(P409="YES",T409="Accepted")),"OK","BLOCKED"))</f>
        <v/>
      </c>
      <c r="AF409">
        <f>IF(OR(AC409="",R409=""),"",IF(ISNUMBER(SEARCH(AC409,R409)),"OK","CHECK"))</f>
        <v/>
      </c>
    </row>
    <row r="410">
      <c r="W410">
        <f>IF(AND(O410="Closed",AE410="OK"),TODAY(),"")</f>
        <v/>
      </c>
      <c r="AB410">
        <f>IF(F410="","",IFERROR(VLOOKUP(F410,Action_Templates!$A:$Q,13,FALSE),""))</f>
        <v/>
      </c>
      <c r="AC410">
        <f>IF(F410="","",IFERROR(VLOOKUP(F410,Action_Templates!$A:$Q,14,FALSE),""))</f>
        <v/>
      </c>
      <c r="AD410">
        <f>IF(F410="","",IFERROR(VLOOKUP(F410,Action_Templates!$A:$Q,15,FALSE),""))</f>
        <v/>
      </c>
      <c r="AE410">
        <f>IF(O410="","",IF(OR(O410&lt;&gt;"Closed",AND(P410="YES",T410="Accepted")),"OK","BLOCKED"))</f>
        <v/>
      </c>
      <c r="AF410">
        <f>IF(OR(AC410="",R410=""),"",IF(ISNUMBER(SEARCH(AC410,R410)),"OK","CHECK"))</f>
        <v/>
      </c>
    </row>
    <row r="411">
      <c r="W411">
        <f>IF(AND(O411="Closed",AE411="OK"),TODAY(),"")</f>
        <v/>
      </c>
      <c r="AB411">
        <f>IF(F411="","",IFERROR(VLOOKUP(F411,Action_Templates!$A:$Q,13,FALSE),""))</f>
        <v/>
      </c>
      <c r="AC411">
        <f>IF(F411="","",IFERROR(VLOOKUP(F411,Action_Templates!$A:$Q,14,FALSE),""))</f>
        <v/>
      </c>
      <c r="AD411">
        <f>IF(F411="","",IFERROR(VLOOKUP(F411,Action_Templates!$A:$Q,15,FALSE),""))</f>
        <v/>
      </c>
      <c r="AE411">
        <f>IF(O411="","",IF(OR(O411&lt;&gt;"Closed",AND(P411="YES",T411="Accepted")),"OK","BLOCKED"))</f>
        <v/>
      </c>
      <c r="AF411">
        <f>IF(OR(AC411="",R411=""),"",IF(ISNUMBER(SEARCH(AC411,R411)),"OK","CHECK"))</f>
        <v/>
      </c>
    </row>
    <row r="412">
      <c r="W412">
        <f>IF(AND(O412="Closed",AE412="OK"),TODAY(),"")</f>
        <v/>
      </c>
      <c r="AB412">
        <f>IF(F412="","",IFERROR(VLOOKUP(F412,Action_Templates!$A:$Q,13,FALSE),""))</f>
        <v/>
      </c>
      <c r="AC412">
        <f>IF(F412="","",IFERROR(VLOOKUP(F412,Action_Templates!$A:$Q,14,FALSE),""))</f>
        <v/>
      </c>
      <c r="AD412">
        <f>IF(F412="","",IFERROR(VLOOKUP(F412,Action_Templates!$A:$Q,15,FALSE),""))</f>
        <v/>
      </c>
      <c r="AE412">
        <f>IF(O412="","",IF(OR(O412&lt;&gt;"Closed",AND(P412="YES",T412="Accepted")),"OK","BLOCKED"))</f>
        <v/>
      </c>
      <c r="AF412">
        <f>IF(OR(AC412="",R412=""),"",IF(ISNUMBER(SEARCH(AC412,R412)),"OK","CHECK"))</f>
        <v/>
      </c>
    </row>
    <row r="413">
      <c r="W413">
        <f>IF(AND(O413="Closed",AE413="OK"),TODAY(),"")</f>
        <v/>
      </c>
      <c r="AB413">
        <f>IF(F413="","",IFERROR(VLOOKUP(F413,Action_Templates!$A:$Q,13,FALSE),""))</f>
        <v/>
      </c>
      <c r="AC413">
        <f>IF(F413="","",IFERROR(VLOOKUP(F413,Action_Templates!$A:$Q,14,FALSE),""))</f>
        <v/>
      </c>
      <c r="AD413">
        <f>IF(F413="","",IFERROR(VLOOKUP(F413,Action_Templates!$A:$Q,15,FALSE),""))</f>
        <v/>
      </c>
      <c r="AE413">
        <f>IF(O413="","",IF(OR(O413&lt;&gt;"Closed",AND(P413="YES",T413="Accepted")),"OK","BLOCKED"))</f>
        <v/>
      </c>
      <c r="AF413">
        <f>IF(OR(AC413="",R413=""),"",IF(ISNUMBER(SEARCH(AC413,R413)),"OK","CHECK"))</f>
        <v/>
      </c>
    </row>
    <row r="414">
      <c r="W414">
        <f>IF(AND(O414="Closed",AE414="OK"),TODAY(),"")</f>
        <v/>
      </c>
      <c r="AB414">
        <f>IF(F414="","",IFERROR(VLOOKUP(F414,Action_Templates!$A:$Q,13,FALSE),""))</f>
        <v/>
      </c>
      <c r="AC414">
        <f>IF(F414="","",IFERROR(VLOOKUP(F414,Action_Templates!$A:$Q,14,FALSE),""))</f>
        <v/>
      </c>
      <c r="AD414">
        <f>IF(F414="","",IFERROR(VLOOKUP(F414,Action_Templates!$A:$Q,15,FALSE),""))</f>
        <v/>
      </c>
      <c r="AE414">
        <f>IF(O414="","",IF(OR(O414&lt;&gt;"Closed",AND(P414="YES",T414="Accepted")),"OK","BLOCKED"))</f>
        <v/>
      </c>
      <c r="AF414">
        <f>IF(OR(AC414="",R414=""),"",IF(ISNUMBER(SEARCH(AC414,R414)),"OK","CHECK"))</f>
        <v/>
      </c>
    </row>
    <row r="415">
      <c r="W415">
        <f>IF(AND(O415="Closed",AE415="OK"),TODAY(),"")</f>
        <v/>
      </c>
      <c r="AB415">
        <f>IF(F415="","",IFERROR(VLOOKUP(F415,Action_Templates!$A:$Q,13,FALSE),""))</f>
        <v/>
      </c>
      <c r="AC415">
        <f>IF(F415="","",IFERROR(VLOOKUP(F415,Action_Templates!$A:$Q,14,FALSE),""))</f>
        <v/>
      </c>
      <c r="AD415">
        <f>IF(F415="","",IFERROR(VLOOKUP(F415,Action_Templates!$A:$Q,15,FALSE),""))</f>
        <v/>
      </c>
      <c r="AE415">
        <f>IF(O415="","",IF(OR(O415&lt;&gt;"Closed",AND(P415="YES",T415="Accepted")),"OK","BLOCKED"))</f>
        <v/>
      </c>
      <c r="AF415">
        <f>IF(OR(AC415="",R415=""),"",IF(ISNUMBER(SEARCH(AC415,R415)),"OK","CHECK"))</f>
        <v/>
      </c>
    </row>
    <row r="416">
      <c r="W416">
        <f>IF(AND(O416="Closed",AE416="OK"),TODAY(),"")</f>
        <v/>
      </c>
      <c r="AB416">
        <f>IF(F416="","",IFERROR(VLOOKUP(F416,Action_Templates!$A:$Q,13,FALSE),""))</f>
        <v/>
      </c>
      <c r="AC416">
        <f>IF(F416="","",IFERROR(VLOOKUP(F416,Action_Templates!$A:$Q,14,FALSE),""))</f>
        <v/>
      </c>
      <c r="AD416">
        <f>IF(F416="","",IFERROR(VLOOKUP(F416,Action_Templates!$A:$Q,15,FALSE),""))</f>
        <v/>
      </c>
      <c r="AE416">
        <f>IF(O416="","",IF(OR(O416&lt;&gt;"Closed",AND(P416="YES",T416="Accepted")),"OK","BLOCKED"))</f>
        <v/>
      </c>
      <c r="AF416">
        <f>IF(OR(AC416="",R416=""),"",IF(ISNUMBER(SEARCH(AC416,R416)),"OK","CHECK"))</f>
        <v/>
      </c>
    </row>
    <row r="417">
      <c r="W417">
        <f>IF(AND(O417="Closed",AE417="OK"),TODAY(),"")</f>
        <v/>
      </c>
      <c r="AB417">
        <f>IF(F417="","",IFERROR(VLOOKUP(F417,Action_Templates!$A:$Q,13,FALSE),""))</f>
        <v/>
      </c>
      <c r="AC417">
        <f>IF(F417="","",IFERROR(VLOOKUP(F417,Action_Templates!$A:$Q,14,FALSE),""))</f>
        <v/>
      </c>
      <c r="AD417">
        <f>IF(F417="","",IFERROR(VLOOKUP(F417,Action_Templates!$A:$Q,15,FALSE),""))</f>
        <v/>
      </c>
      <c r="AE417">
        <f>IF(O417="","",IF(OR(O417&lt;&gt;"Closed",AND(P417="YES",T417="Accepted")),"OK","BLOCKED"))</f>
        <v/>
      </c>
      <c r="AF417">
        <f>IF(OR(AC417="",R417=""),"",IF(ISNUMBER(SEARCH(AC417,R417)),"OK","CHECK"))</f>
        <v/>
      </c>
    </row>
    <row r="418">
      <c r="W418">
        <f>IF(AND(O418="Closed",AE418="OK"),TODAY(),"")</f>
        <v/>
      </c>
      <c r="AB418">
        <f>IF(F418="","",IFERROR(VLOOKUP(F418,Action_Templates!$A:$Q,13,FALSE),""))</f>
        <v/>
      </c>
      <c r="AC418">
        <f>IF(F418="","",IFERROR(VLOOKUP(F418,Action_Templates!$A:$Q,14,FALSE),""))</f>
        <v/>
      </c>
      <c r="AD418">
        <f>IF(F418="","",IFERROR(VLOOKUP(F418,Action_Templates!$A:$Q,15,FALSE),""))</f>
        <v/>
      </c>
      <c r="AE418">
        <f>IF(O418="","",IF(OR(O418&lt;&gt;"Closed",AND(P418="YES",T418="Accepted")),"OK","BLOCKED"))</f>
        <v/>
      </c>
      <c r="AF418">
        <f>IF(OR(AC418="",R418=""),"",IF(ISNUMBER(SEARCH(AC418,R418)),"OK","CHECK"))</f>
        <v/>
      </c>
    </row>
    <row r="419">
      <c r="W419">
        <f>IF(AND(O419="Closed",AE419="OK"),TODAY(),"")</f>
        <v/>
      </c>
      <c r="AB419">
        <f>IF(F419="","",IFERROR(VLOOKUP(F419,Action_Templates!$A:$Q,13,FALSE),""))</f>
        <v/>
      </c>
      <c r="AC419">
        <f>IF(F419="","",IFERROR(VLOOKUP(F419,Action_Templates!$A:$Q,14,FALSE),""))</f>
        <v/>
      </c>
      <c r="AD419">
        <f>IF(F419="","",IFERROR(VLOOKUP(F419,Action_Templates!$A:$Q,15,FALSE),""))</f>
        <v/>
      </c>
      <c r="AE419">
        <f>IF(O419="","",IF(OR(O419&lt;&gt;"Closed",AND(P419="YES",T419="Accepted")),"OK","BLOCKED"))</f>
        <v/>
      </c>
      <c r="AF419">
        <f>IF(OR(AC419="",R419=""),"",IF(ISNUMBER(SEARCH(AC419,R419)),"OK","CHECK"))</f>
        <v/>
      </c>
    </row>
    <row r="420">
      <c r="W420">
        <f>IF(AND(O420="Closed",AE420="OK"),TODAY(),"")</f>
        <v/>
      </c>
      <c r="AB420">
        <f>IF(F420="","",IFERROR(VLOOKUP(F420,Action_Templates!$A:$Q,13,FALSE),""))</f>
        <v/>
      </c>
      <c r="AC420">
        <f>IF(F420="","",IFERROR(VLOOKUP(F420,Action_Templates!$A:$Q,14,FALSE),""))</f>
        <v/>
      </c>
      <c r="AD420">
        <f>IF(F420="","",IFERROR(VLOOKUP(F420,Action_Templates!$A:$Q,15,FALSE),""))</f>
        <v/>
      </c>
      <c r="AE420">
        <f>IF(O420="","",IF(OR(O420&lt;&gt;"Closed",AND(P420="YES",T420="Accepted")),"OK","BLOCKED"))</f>
        <v/>
      </c>
      <c r="AF420">
        <f>IF(OR(AC420="",R420=""),"",IF(ISNUMBER(SEARCH(AC420,R420)),"OK","CHECK"))</f>
        <v/>
      </c>
    </row>
    <row r="421">
      <c r="W421">
        <f>IF(AND(O421="Closed",AE421="OK"),TODAY(),"")</f>
        <v/>
      </c>
      <c r="AB421">
        <f>IF(F421="","",IFERROR(VLOOKUP(F421,Action_Templates!$A:$Q,13,FALSE),""))</f>
        <v/>
      </c>
      <c r="AC421">
        <f>IF(F421="","",IFERROR(VLOOKUP(F421,Action_Templates!$A:$Q,14,FALSE),""))</f>
        <v/>
      </c>
      <c r="AD421">
        <f>IF(F421="","",IFERROR(VLOOKUP(F421,Action_Templates!$A:$Q,15,FALSE),""))</f>
        <v/>
      </c>
      <c r="AE421">
        <f>IF(O421="","",IF(OR(O421&lt;&gt;"Closed",AND(P421="YES",T421="Accepted")),"OK","BLOCKED"))</f>
        <v/>
      </c>
      <c r="AF421">
        <f>IF(OR(AC421="",R421=""),"",IF(ISNUMBER(SEARCH(AC421,R421)),"OK","CHECK"))</f>
        <v/>
      </c>
    </row>
    <row r="422">
      <c r="W422">
        <f>IF(AND(O422="Closed",AE422="OK"),TODAY(),"")</f>
        <v/>
      </c>
      <c r="AB422">
        <f>IF(F422="","",IFERROR(VLOOKUP(F422,Action_Templates!$A:$Q,13,FALSE),""))</f>
        <v/>
      </c>
      <c r="AC422">
        <f>IF(F422="","",IFERROR(VLOOKUP(F422,Action_Templates!$A:$Q,14,FALSE),""))</f>
        <v/>
      </c>
      <c r="AD422">
        <f>IF(F422="","",IFERROR(VLOOKUP(F422,Action_Templates!$A:$Q,15,FALSE),""))</f>
        <v/>
      </c>
      <c r="AE422">
        <f>IF(O422="","",IF(OR(O422&lt;&gt;"Closed",AND(P422="YES",T422="Accepted")),"OK","BLOCKED"))</f>
        <v/>
      </c>
      <c r="AF422">
        <f>IF(OR(AC422="",R422=""),"",IF(ISNUMBER(SEARCH(AC422,R422)),"OK","CHECK"))</f>
        <v/>
      </c>
    </row>
    <row r="423">
      <c r="W423">
        <f>IF(AND(O423="Closed",AE423="OK"),TODAY(),"")</f>
        <v/>
      </c>
      <c r="AB423">
        <f>IF(F423="","",IFERROR(VLOOKUP(F423,Action_Templates!$A:$Q,13,FALSE),""))</f>
        <v/>
      </c>
      <c r="AC423">
        <f>IF(F423="","",IFERROR(VLOOKUP(F423,Action_Templates!$A:$Q,14,FALSE),""))</f>
        <v/>
      </c>
      <c r="AD423">
        <f>IF(F423="","",IFERROR(VLOOKUP(F423,Action_Templates!$A:$Q,15,FALSE),""))</f>
        <v/>
      </c>
      <c r="AE423">
        <f>IF(O423="","",IF(OR(O423&lt;&gt;"Closed",AND(P423="YES",T423="Accepted")),"OK","BLOCKED"))</f>
        <v/>
      </c>
      <c r="AF423">
        <f>IF(OR(AC423="",R423=""),"",IF(ISNUMBER(SEARCH(AC423,R423)),"OK","CHECK"))</f>
        <v/>
      </c>
    </row>
    <row r="424">
      <c r="W424">
        <f>IF(AND(O424="Closed",AE424="OK"),TODAY(),"")</f>
        <v/>
      </c>
      <c r="AB424">
        <f>IF(F424="","",IFERROR(VLOOKUP(F424,Action_Templates!$A:$Q,13,FALSE),""))</f>
        <v/>
      </c>
      <c r="AC424">
        <f>IF(F424="","",IFERROR(VLOOKUP(F424,Action_Templates!$A:$Q,14,FALSE),""))</f>
        <v/>
      </c>
      <c r="AD424">
        <f>IF(F424="","",IFERROR(VLOOKUP(F424,Action_Templates!$A:$Q,15,FALSE),""))</f>
        <v/>
      </c>
      <c r="AE424">
        <f>IF(O424="","",IF(OR(O424&lt;&gt;"Closed",AND(P424="YES",T424="Accepted")),"OK","BLOCKED"))</f>
        <v/>
      </c>
      <c r="AF424">
        <f>IF(OR(AC424="",R424=""),"",IF(ISNUMBER(SEARCH(AC424,R424)),"OK","CHECK"))</f>
        <v/>
      </c>
    </row>
    <row r="425">
      <c r="W425">
        <f>IF(AND(O425="Closed",AE425="OK"),TODAY(),"")</f>
        <v/>
      </c>
      <c r="AB425">
        <f>IF(F425="","",IFERROR(VLOOKUP(F425,Action_Templates!$A:$Q,13,FALSE),""))</f>
        <v/>
      </c>
      <c r="AC425">
        <f>IF(F425="","",IFERROR(VLOOKUP(F425,Action_Templates!$A:$Q,14,FALSE),""))</f>
        <v/>
      </c>
      <c r="AD425">
        <f>IF(F425="","",IFERROR(VLOOKUP(F425,Action_Templates!$A:$Q,15,FALSE),""))</f>
        <v/>
      </c>
      <c r="AE425">
        <f>IF(O425="","",IF(OR(O425&lt;&gt;"Closed",AND(P425="YES",T425="Accepted")),"OK","BLOCKED"))</f>
        <v/>
      </c>
      <c r="AF425">
        <f>IF(OR(AC425="",R425=""),"",IF(ISNUMBER(SEARCH(AC425,R425)),"OK","CHECK"))</f>
        <v/>
      </c>
    </row>
    <row r="426">
      <c r="W426">
        <f>IF(AND(O426="Closed",AE426="OK"),TODAY(),"")</f>
        <v/>
      </c>
      <c r="AB426">
        <f>IF(F426="","",IFERROR(VLOOKUP(F426,Action_Templates!$A:$Q,13,FALSE),""))</f>
        <v/>
      </c>
      <c r="AC426">
        <f>IF(F426="","",IFERROR(VLOOKUP(F426,Action_Templates!$A:$Q,14,FALSE),""))</f>
        <v/>
      </c>
      <c r="AD426">
        <f>IF(F426="","",IFERROR(VLOOKUP(F426,Action_Templates!$A:$Q,15,FALSE),""))</f>
        <v/>
      </c>
      <c r="AE426">
        <f>IF(O426="","",IF(OR(O426&lt;&gt;"Closed",AND(P426="YES",T426="Accepted")),"OK","BLOCKED"))</f>
        <v/>
      </c>
      <c r="AF426">
        <f>IF(OR(AC426="",R426=""),"",IF(ISNUMBER(SEARCH(AC426,R426)),"OK","CHECK"))</f>
        <v/>
      </c>
    </row>
    <row r="427">
      <c r="W427">
        <f>IF(AND(O427="Closed",AE427="OK"),TODAY(),"")</f>
        <v/>
      </c>
      <c r="AB427">
        <f>IF(F427="","",IFERROR(VLOOKUP(F427,Action_Templates!$A:$Q,13,FALSE),""))</f>
        <v/>
      </c>
      <c r="AC427">
        <f>IF(F427="","",IFERROR(VLOOKUP(F427,Action_Templates!$A:$Q,14,FALSE),""))</f>
        <v/>
      </c>
      <c r="AD427">
        <f>IF(F427="","",IFERROR(VLOOKUP(F427,Action_Templates!$A:$Q,15,FALSE),""))</f>
        <v/>
      </c>
      <c r="AE427">
        <f>IF(O427="","",IF(OR(O427&lt;&gt;"Closed",AND(P427="YES",T427="Accepted")),"OK","BLOCKED"))</f>
        <v/>
      </c>
      <c r="AF427">
        <f>IF(OR(AC427="",R427=""),"",IF(ISNUMBER(SEARCH(AC427,R427)),"OK","CHECK"))</f>
        <v/>
      </c>
    </row>
    <row r="428">
      <c r="W428">
        <f>IF(AND(O428="Closed",AE428="OK"),TODAY(),"")</f>
        <v/>
      </c>
      <c r="AB428">
        <f>IF(F428="","",IFERROR(VLOOKUP(F428,Action_Templates!$A:$Q,13,FALSE),""))</f>
        <v/>
      </c>
      <c r="AC428">
        <f>IF(F428="","",IFERROR(VLOOKUP(F428,Action_Templates!$A:$Q,14,FALSE),""))</f>
        <v/>
      </c>
      <c r="AD428">
        <f>IF(F428="","",IFERROR(VLOOKUP(F428,Action_Templates!$A:$Q,15,FALSE),""))</f>
        <v/>
      </c>
      <c r="AE428">
        <f>IF(O428="","",IF(OR(O428&lt;&gt;"Closed",AND(P428="YES",T428="Accepted")),"OK","BLOCKED"))</f>
        <v/>
      </c>
      <c r="AF428">
        <f>IF(OR(AC428="",R428=""),"",IF(ISNUMBER(SEARCH(AC428,R428)),"OK","CHECK"))</f>
        <v/>
      </c>
    </row>
    <row r="429">
      <c r="W429">
        <f>IF(AND(O429="Closed",AE429="OK"),TODAY(),"")</f>
        <v/>
      </c>
      <c r="AB429">
        <f>IF(F429="","",IFERROR(VLOOKUP(F429,Action_Templates!$A:$Q,13,FALSE),""))</f>
        <v/>
      </c>
      <c r="AC429">
        <f>IF(F429="","",IFERROR(VLOOKUP(F429,Action_Templates!$A:$Q,14,FALSE),""))</f>
        <v/>
      </c>
      <c r="AD429">
        <f>IF(F429="","",IFERROR(VLOOKUP(F429,Action_Templates!$A:$Q,15,FALSE),""))</f>
        <v/>
      </c>
      <c r="AE429">
        <f>IF(O429="","",IF(OR(O429&lt;&gt;"Closed",AND(P429="YES",T429="Accepted")),"OK","BLOCKED"))</f>
        <v/>
      </c>
      <c r="AF429">
        <f>IF(OR(AC429="",R429=""),"",IF(ISNUMBER(SEARCH(AC429,R429)),"OK","CHECK"))</f>
        <v/>
      </c>
    </row>
    <row r="430">
      <c r="W430">
        <f>IF(AND(O430="Closed",AE430="OK"),TODAY(),"")</f>
        <v/>
      </c>
      <c r="AB430">
        <f>IF(F430="","",IFERROR(VLOOKUP(F430,Action_Templates!$A:$Q,13,FALSE),""))</f>
        <v/>
      </c>
      <c r="AC430">
        <f>IF(F430="","",IFERROR(VLOOKUP(F430,Action_Templates!$A:$Q,14,FALSE),""))</f>
        <v/>
      </c>
      <c r="AD430">
        <f>IF(F430="","",IFERROR(VLOOKUP(F430,Action_Templates!$A:$Q,15,FALSE),""))</f>
        <v/>
      </c>
      <c r="AE430">
        <f>IF(O430="","",IF(OR(O430&lt;&gt;"Closed",AND(P430="YES",T430="Accepted")),"OK","BLOCKED"))</f>
        <v/>
      </c>
      <c r="AF430">
        <f>IF(OR(AC430="",R430=""),"",IF(ISNUMBER(SEARCH(AC430,R430)),"OK","CHECK"))</f>
        <v/>
      </c>
    </row>
    <row r="431">
      <c r="W431">
        <f>IF(AND(O431="Closed",AE431="OK"),TODAY(),"")</f>
        <v/>
      </c>
      <c r="AB431">
        <f>IF(F431="","",IFERROR(VLOOKUP(F431,Action_Templates!$A:$Q,13,FALSE),""))</f>
        <v/>
      </c>
      <c r="AC431">
        <f>IF(F431="","",IFERROR(VLOOKUP(F431,Action_Templates!$A:$Q,14,FALSE),""))</f>
        <v/>
      </c>
      <c r="AD431">
        <f>IF(F431="","",IFERROR(VLOOKUP(F431,Action_Templates!$A:$Q,15,FALSE),""))</f>
        <v/>
      </c>
      <c r="AE431">
        <f>IF(O431="","",IF(OR(O431&lt;&gt;"Closed",AND(P431="YES",T431="Accepted")),"OK","BLOCKED"))</f>
        <v/>
      </c>
      <c r="AF431">
        <f>IF(OR(AC431="",R431=""),"",IF(ISNUMBER(SEARCH(AC431,R431)),"OK","CHECK"))</f>
        <v/>
      </c>
    </row>
    <row r="432">
      <c r="W432">
        <f>IF(AND(O432="Closed",AE432="OK"),TODAY(),"")</f>
        <v/>
      </c>
      <c r="AB432">
        <f>IF(F432="","",IFERROR(VLOOKUP(F432,Action_Templates!$A:$Q,13,FALSE),""))</f>
        <v/>
      </c>
      <c r="AC432">
        <f>IF(F432="","",IFERROR(VLOOKUP(F432,Action_Templates!$A:$Q,14,FALSE),""))</f>
        <v/>
      </c>
      <c r="AD432">
        <f>IF(F432="","",IFERROR(VLOOKUP(F432,Action_Templates!$A:$Q,15,FALSE),""))</f>
        <v/>
      </c>
      <c r="AE432">
        <f>IF(O432="","",IF(OR(O432&lt;&gt;"Closed",AND(P432="YES",T432="Accepted")),"OK","BLOCKED"))</f>
        <v/>
      </c>
      <c r="AF432">
        <f>IF(OR(AC432="",R432=""),"",IF(ISNUMBER(SEARCH(AC432,R432)),"OK","CHECK"))</f>
        <v/>
      </c>
    </row>
    <row r="433">
      <c r="W433">
        <f>IF(AND(O433="Closed",AE433="OK"),TODAY(),"")</f>
        <v/>
      </c>
      <c r="AB433">
        <f>IF(F433="","",IFERROR(VLOOKUP(F433,Action_Templates!$A:$Q,13,FALSE),""))</f>
        <v/>
      </c>
      <c r="AC433">
        <f>IF(F433="","",IFERROR(VLOOKUP(F433,Action_Templates!$A:$Q,14,FALSE),""))</f>
        <v/>
      </c>
      <c r="AD433">
        <f>IF(F433="","",IFERROR(VLOOKUP(F433,Action_Templates!$A:$Q,15,FALSE),""))</f>
        <v/>
      </c>
      <c r="AE433">
        <f>IF(O433="","",IF(OR(O433&lt;&gt;"Closed",AND(P433="YES",T433="Accepted")),"OK","BLOCKED"))</f>
        <v/>
      </c>
      <c r="AF433">
        <f>IF(OR(AC433="",R433=""),"",IF(ISNUMBER(SEARCH(AC433,R433)),"OK","CHECK"))</f>
        <v/>
      </c>
    </row>
    <row r="434">
      <c r="W434">
        <f>IF(AND(O434="Closed",AE434="OK"),TODAY(),"")</f>
        <v/>
      </c>
      <c r="AB434">
        <f>IF(F434="","",IFERROR(VLOOKUP(F434,Action_Templates!$A:$Q,13,FALSE),""))</f>
        <v/>
      </c>
      <c r="AC434">
        <f>IF(F434="","",IFERROR(VLOOKUP(F434,Action_Templates!$A:$Q,14,FALSE),""))</f>
        <v/>
      </c>
      <c r="AD434">
        <f>IF(F434="","",IFERROR(VLOOKUP(F434,Action_Templates!$A:$Q,15,FALSE),""))</f>
        <v/>
      </c>
      <c r="AE434">
        <f>IF(O434="","",IF(OR(O434&lt;&gt;"Closed",AND(P434="YES",T434="Accepted")),"OK","BLOCKED"))</f>
        <v/>
      </c>
      <c r="AF434">
        <f>IF(OR(AC434="",R434=""),"",IF(ISNUMBER(SEARCH(AC434,R434)),"OK","CHECK"))</f>
        <v/>
      </c>
    </row>
    <row r="435">
      <c r="W435">
        <f>IF(AND(O435="Closed",AE435="OK"),TODAY(),"")</f>
        <v/>
      </c>
      <c r="AB435">
        <f>IF(F435="","",IFERROR(VLOOKUP(F435,Action_Templates!$A:$Q,13,FALSE),""))</f>
        <v/>
      </c>
      <c r="AC435">
        <f>IF(F435="","",IFERROR(VLOOKUP(F435,Action_Templates!$A:$Q,14,FALSE),""))</f>
        <v/>
      </c>
      <c r="AD435">
        <f>IF(F435="","",IFERROR(VLOOKUP(F435,Action_Templates!$A:$Q,15,FALSE),""))</f>
        <v/>
      </c>
      <c r="AE435">
        <f>IF(O435="","",IF(OR(O435&lt;&gt;"Closed",AND(P435="YES",T435="Accepted")),"OK","BLOCKED"))</f>
        <v/>
      </c>
      <c r="AF435">
        <f>IF(OR(AC435="",R435=""),"",IF(ISNUMBER(SEARCH(AC435,R435)),"OK","CHECK"))</f>
        <v/>
      </c>
    </row>
    <row r="436">
      <c r="W436">
        <f>IF(AND(O436="Closed",AE436="OK"),TODAY(),"")</f>
        <v/>
      </c>
      <c r="AB436">
        <f>IF(F436="","",IFERROR(VLOOKUP(F436,Action_Templates!$A:$Q,13,FALSE),""))</f>
        <v/>
      </c>
      <c r="AC436">
        <f>IF(F436="","",IFERROR(VLOOKUP(F436,Action_Templates!$A:$Q,14,FALSE),""))</f>
        <v/>
      </c>
      <c r="AD436">
        <f>IF(F436="","",IFERROR(VLOOKUP(F436,Action_Templates!$A:$Q,15,FALSE),""))</f>
        <v/>
      </c>
      <c r="AE436">
        <f>IF(O436="","",IF(OR(O436&lt;&gt;"Closed",AND(P436="YES",T436="Accepted")),"OK","BLOCKED"))</f>
        <v/>
      </c>
      <c r="AF436">
        <f>IF(OR(AC436="",R436=""),"",IF(ISNUMBER(SEARCH(AC436,R436)),"OK","CHECK"))</f>
        <v/>
      </c>
    </row>
    <row r="437">
      <c r="W437">
        <f>IF(AND(O437="Closed",AE437="OK"),TODAY(),"")</f>
        <v/>
      </c>
      <c r="AB437">
        <f>IF(F437="","",IFERROR(VLOOKUP(F437,Action_Templates!$A:$Q,13,FALSE),""))</f>
        <v/>
      </c>
      <c r="AC437">
        <f>IF(F437="","",IFERROR(VLOOKUP(F437,Action_Templates!$A:$Q,14,FALSE),""))</f>
        <v/>
      </c>
      <c r="AD437">
        <f>IF(F437="","",IFERROR(VLOOKUP(F437,Action_Templates!$A:$Q,15,FALSE),""))</f>
        <v/>
      </c>
      <c r="AE437">
        <f>IF(O437="","",IF(OR(O437&lt;&gt;"Closed",AND(P437="YES",T437="Accepted")),"OK","BLOCKED"))</f>
        <v/>
      </c>
      <c r="AF437">
        <f>IF(OR(AC437="",R437=""),"",IF(ISNUMBER(SEARCH(AC437,R437)),"OK","CHECK"))</f>
        <v/>
      </c>
    </row>
    <row r="438">
      <c r="W438">
        <f>IF(AND(O438="Closed",AE438="OK"),TODAY(),"")</f>
        <v/>
      </c>
      <c r="AB438">
        <f>IF(F438="","",IFERROR(VLOOKUP(F438,Action_Templates!$A:$Q,13,FALSE),""))</f>
        <v/>
      </c>
      <c r="AC438">
        <f>IF(F438="","",IFERROR(VLOOKUP(F438,Action_Templates!$A:$Q,14,FALSE),""))</f>
        <v/>
      </c>
      <c r="AD438">
        <f>IF(F438="","",IFERROR(VLOOKUP(F438,Action_Templates!$A:$Q,15,FALSE),""))</f>
        <v/>
      </c>
      <c r="AE438">
        <f>IF(O438="","",IF(OR(O438&lt;&gt;"Closed",AND(P438="YES",T438="Accepted")),"OK","BLOCKED"))</f>
        <v/>
      </c>
      <c r="AF438">
        <f>IF(OR(AC438="",R438=""),"",IF(ISNUMBER(SEARCH(AC438,R438)),"OK","CHECK"))</f>
        <v/>
      </c>
    </row>
    <row r="439">
      <c r="W439">
        <f>IF(AND(O439="Closed",AE439="OK"),TODAY(),"")</f>
        <v/>
      </c>
      <c r="AB439">
        <f>IF(F439="","",IFERROR(VLOOKUP(F439,Action_Templates!$A:$Q,13,FALSE),""))</f>
        <v/>
      </c>
      <c r="AC439">
        <f>IF(F439="","",IFERROR(VLOOKUP(F439,Action_Templates!$A:$Q,14,FALSE),""))</f>
        <v/>
      </c>
      <c r="AD439">
        <f>IF(F439="","",IFERROR(VLOOKUP(F439,Action_Templates!$A:$Q,15,FALSE),""))</f>
        <v/>
      </c>
      <c r="AE439">
        <f>IF(O439="","",IF(OR(O439&lt;&gt;"Closed",AND(P439="YES",T439="Accepted")),"OK","BLOCKED"))</f>
        <v/>
      </c>
      <c r="AF439">
        <f>IF(OR(AC439="",R439=""),"",IF(ISNUMBER(SEARCH(AC439,R439)),"OK","CHECK"))</f>
        <v/>
      </c>
    </row>
    <row r="440">
      <c r="W440">
        <f>IF(AND(O440="Closed",AE440="OK"),TODAY(),"")</f>
        <v/>
      </c>
      <c r="AB440">
        <f>IF(F440="","",IFERROR(VLOOKUP(F440,Action_Templates!$A:$Q,13,FALSE),""))</f>
        <v/>
      </c>
      <c r="AC440">
        <f>IF(F440="","",IFERROR(VLOOKUP(F440,Action_Templates!$A:$Q,14,FALSE),""))</f>
        <v/>
      </c>
      <c r="AD440">
        <f>IF(F440="","",IFERROR(VLOOKUP(F440,Action_Templates!$A:$Q,15,FALSE),""))</f>
        <v/>
      </c>
      <c r="AE440">
        <f>IF(O440="","",IF(OR(O440&lt;&gt;"Closed",AND(P440="YES",T440="Accepted")),"OK","BLOCKED"))</f>
        <v/>
      </c>
      <c r="AF440">
        <f>IF(OR(AC440="",R440=""),"",IF(ISNUMBER(SEARCH(AC440,R440)),"OK","CHECK"))</f>
        <v/>
      </c>
    </row>
    <row r="441">
      <c r="W441">
        <f>IF(AND(O441="Closed",AE441="OK"),TODAY(),"")</f>
        <v/>
      </c>
      <c r="AB441">
        <f>IF(F441="","",IFERROR(VLOOKUP(F441,Action_Templates!$A:$Q,13,FALSE),""))</f>
        <v/>
      </c>
      <c r="AC441">
        <f>IF(F441="","",IFERROR(VLOOKUP(F441,Action_Templates!$A:$Q,14,FALSE),""))</f>
        <v/>
      </c>
      <c r="AD441">
        <f>IF(F441="","",IFERROR(VLOOKUP(F441,Action_Templates!$A:$Q,15,FALSE),""))</f>
        <v/>
      </c>
      <c r="AE441">
        <f>IF(O441="","",IF(OR(O441&lt;&gt;"Closed",AND(P441="YES",T441="Accepted")),"OK","BLOCKED"))</f>
        <v/>
      </c>
      <c r="AF441">
        <f>IF(OR(AC441="",R441=""),"",IF(ISNUMBER(SEARCH(AC441,R441)),"OK","CHECK"))</f>
        <v/>
      </c>
    </row>
    <row r="442">
      <c r="W442">
        <f>IF(AND(O442="Closed",AE442="OK"),TODAY(),"")</f>
        <v/>
      </c>
      <c r="AB442">
        <f>IF(F442="","",IFERROR(VLOOKUP(F442,Action_Templates!$A:$Q,13,FALSE),""))</f>
        <v/>
      </c>
      <c r="AC442">
        <f>IF(F442="","",IFERROR(VLOOKUP(F442,Action_Templates!$A:$Q,14,FALSE),""))</f>
        <v/>
      </c>
      <c r="AD442">
        <f>IF(F442="","",IFERROR(VLOOKUP(F442,Action_Templates!$A:$Q,15,FALSE),""))</f>
        <v/>
      </c>
      <c r="AE442">
        <f>IF(O442="","",IF(OR(O442&lt;&gt;"Closed",AND(P442="YES",T442="Accepted")),"OK","BLOCKED"))</f>
        <v/>
      </c>
      <c r="AF442">
        <f>IF(OR(AC442="",R442=""),"",IF(ISNUMBER(SEARCH(AC442,R442)),"OK","CHECK"))</f>
        <v/>
      </c>
    </row>
    <row r="443">
      <c r="W443">
        <f>IF(AND(O443="Closed",AE443="OK"),TODAY(),"")</f>
        <v/>
      </c>
      <c r="AB443">
        <f>IF(F443="","",IFERROR(VLOOKUP(F443,Action_Templates!$A:$Q,13,FALSE),""))</f>
        <v/>
      </c>
      <c r="AC443">
        <f>IF(F443="","",IFERROR(VLOOKUP(F443,Action_Templates!$A:$Q,14,FALSE),""))</f>
        <v/>
      </c>
      <c r="AD443">
        <f>IF(F443="","",IFERROR(VLOOKUP(F443,Action_Templates!$A:$Q,15,FALSE),""))</f>
        <v/>
      </c>
      <c r="AE443">
        <f>IF(O443="","",IF(OR(O443&lt;&gt;"Closed",AND(P443="YES",T443="Accepted")),"OK","BLOCKED"))</f>
        <v/>
      </c>
      <c r="AF443">
        <f>IF(OR(AC443="",R443=""),"",IF(ISNUMBER(SEARCH(AC443,R443)),"OK","CHECK"))</f>
        <v/>
      </c>
    </row>
    <row r="444">
      <c r="W444">
        <f>IF(AND(O444="Closed",AE444="OK"),TODAY(),"")</f>
        <v/>
      </c>
      <c r="AB444">
        <f>IF(F444="","",IFERROR(VLOOKUP(F444,Action_Templates!$A:$Q,13,FALSE),""))</f>
        <v/>
      </c>
      <c r="AC444">
        <f>IF(F444="","",IFERROR(VLOOKUP(F444,Action_Templates!$A:$Q,14,FALSE),""))</f>
        <v/>
      </c>
      <c r="AD444">
        <f>IF(F444="","",IFERROR(VLOOKUP(F444,Action_Templates!$A:$Q,15,FALSE),""))</f>
        <v/>
      </c>
      <c r="AE444">
        <f>IF(O444="","",IF(OR(O444&lt;&gt;"Closed",AND(P444="YES",T444="Accepted")),"OK","BLOCKED"))</f>
        <v/>
      </c>
      <c r="AF444">
        <f>IF(OR(AC444="",R444=""),"",IF(ISNUMBER(SEARCH(AC444,R444)),"OK","CHECK"))</f>
        <v/>
      </c>
    </row>
    <row r="445">
      <c r="W445">
        <f>IF(AND(O445="Closed",AE445="OK"),TODAY(),"")</f>
        <v/>
      </c>
      <c r="AB445">
        <f>IF(F445="","",IFERROR(VLOOKUP(F445,Action_Templates!$A:$Q,13,FALSE),""))</f>
        <v/>
      </c>
      <c r="AC445">
        <f>IF(F445="","",IFERROR(VLOOKUP(F445,Action_Templates!$A:$Q,14,FALSE),""))</f>
        <v/>
      </c>
      <c r="AD445">
        <f>IF(F445="","",IFERROR(VLOOKUP(F445,Action_Templates!$A:$Q,15,FALSE),""))</f>
        <v/>
      </c>
      <c r="AE445">
        <f>IF(O445="","",IF(OR(O445&lt;&gt;"Closed",AND(P445="YES",T445="Accepted")),"OK","BLOCKED"))</f>
        <v/>
      </c>
      <c r="AF445">
        <f>IF(OR(AC445="",R445=""),"",IF(ISNUMBER(SEARCH(AC445,R445)),"OK","CHECK"))</f>
        <v/>
      </c>
    </row>
    <row r="446">
      <c r="W446">
        <f>IF(AND(O446="Closed",AE446="OK"),TODAY(),"")</f>
        <v/>
      </c>
      <c r="AB446">
        <f>IF(F446="","",IFERROR(VLOOKUP(F446,Action_Templates!$A:$Q,13,FALSE),""))</f>
        <v/>
      </c>
      <c r="AC446">
        <f>IF(F446="","",IFERROR(VLOOKUP(F446,Action_Templates!$A:$Q,14,FALSE),""))</f>
        <v/>
      </c>
      <c r="AD446">
        <f>IF(F446="","",IFERROR(VLOOKUP(F446,Action_Templates!$A:$Q,15,FALSE),""))</f>
        <v/>
      </c>
      <c r="AE446">
        <f>IF(O446="","",IF(OR(O446&lt;&gt;"Closed",AND(P446="YES",T446="Accepted")),"OK","BLOCKED"))</f>
        <v/>
      </c>
      <c r="AF446">
        <f>IF(OR(AC446="",R446=""),"",IF(ISNUMBER(SEARCH(AC446,R446)),"OK","CHECK"))</f>
        <v/>
      </c>
    </row>
    <row r="447">
      <c r="W447">
        <f>IF(AND(O447="Closed",AE447="OK"),TODAY(),"")</f>
        <v/>
      </c>
      <c r="AB447">
        <f>IF(F447="","",IFERROR(VLOOKUP(F447,Action_Templates!$A:$Q,13,FALSE),""))</f>
        <v/>
      </c>
      <c r="AC447">
        <f>IF(F447="","",IFERROR(VLOOKUP(F447,Action_Templates!$A:$Q,14,FALSE),""))</f>
        <v/>
      </c>
      <c r="AD447">
        <f>IF(F447="","",IFERROR(VLOOKUP(F447,Action_Templates!$A:$Q,15,FALSE),""))</f>
        <v/>
      </c>
      <c r="AE447">
        <f>IF(O447="","",IF(OR(O447&lt;&gt;"Closed",AND(P447="YES",T447="Accepted")),"OK","BLOCKED"))</f>
        <v/>
      </c>
      <c r="AF447">
        <f>IF(OR(AC447="",R447=""),"",IF(ISNUMBER(SEARCH(AC447,R447)),"OK","CHECK"))</f>
        <v/>
      </c>
    </row>
    <row r="448">
      <c r="W448">
        <f>IF(AND(O448="Closed",AE448="OK"),TODAY(),"")</f>
        <v/>
      </c>
      <c r="AB448">
        <f>IF(F448="","",IFERROR(VLOOKUP(F448,Action_Templates!$A:$Q,13,FALSE),""))</f>
        <v/>
      </c>
      <c r="AC448">
        <f>IF(F448="","",IFERROR(VLOOKUP(F448,Action_Templates!$A:$Q,14,FALSE),""))</f>
        <v/>
      </c>
      <c r="AD448">
        <f>IF(F448="","",IFERROR(VLOOKUP(F448,Action_Templates!$A:$Q,15,FALSE),""))</f>
        <v/>
      </c>
      <c r="AE448">
        <f>IF(O448="","",IF(OR(O448&lt;&gt;"Closed",AND(P448="YES",T448="Accepted")),"OK","BLOCKED"))</f>
        <v/>
      </c>
      <c r="AF448">
        <f>IF(OR(AC448="",R448=""),"",IF(ISNUMBER(SEARCH(AC448,R448)),"OK","CHECK"))</f>
        <v/>
      </c>
    </row>
    <row r="449">
      <c r="W449">
        <f>IF(AND(O449="Closed",AE449="OK"),TODAY(),"")</f>
        <v/>
      </c>
      <c r="AB449">
        <f>IF(F449="","",IFERROR(VLOOKUP(F449,Action_Templates!$A:$Q,13,FALSE),""))</f>
        <v/>
      </c>
      <c r="AC449">
        <f>IF(F449="","",IFERROR(VLOOKUP(F449,Action_Templates!$A:$Q,14,FALSE),""))</f>
        <v/>
      </c>
      <c r="AD449">
        <f>IF(F449="","",IFERROR(VLOOKUP(F449,Action_Templates!$A:$Q,15,FALSE),""))</f>
        <v/>
      </c>
      <c r="AE449">
        <f>IF(O449="","",IF(OR(O449&lt;&gt;"Closed",AND(P449="YES",T449="Accepted")),"OK","BLOCKED"))</f>
        <v/>
      </c>
      <c r="AF449">
        <f>IF(OR(AC449="",R449=""),"",IF(ISNUMBER(SEARCH(AC449,R449)),"OK","CHECK"))</f>
        <v/>
      </c>
    </row>
    <row r="450">
      <c r="W450">
        <f>IF(AND(O450="Closed",AE450="OK"),TODAY(),"")</f>
        <v/>
      </c>
      <c r="AB450">
        <f>IF(F450="","",IFERROR(VLOOKUP(F450,Action_Templates!$A:$Q,13,FALSE),""))</f>
        <v/>
      </c>
      <c r="AC450">
        <f>IF(F450="","",IFERROR(VLOOKUP(F450,Action_Templates!$A:$Q,14,FALSE),""))</f>
        <v/>
      </c>
      <c r="AD450">
        <f>IF(F450="","",IFERROR(VLOOKUP(F450,Action_Templates!$A:$Q,15,FALSE),""))</f>
        <v/>
      </c>
      <c r="AE450">
        <f>IF(O450="","",IF(OR(O450&lt;&gt;"Closed",AND(P450="YES",T450="Accepted")),"OK","BLOCKED"))</f>
        <v/>
      </c>
      <c r="AF450">
        <f>IF(OR(AC450="",R450=""),"",IF(ISNUMBER(SEARCH(AC450,R450)),"OK","CHECK"))</f>
        <v/>
      </c>
    </row>
    <row r="451">
      <c r="W451">
        <f>IF(AND(O451="Closed",AE451="OK"),TODAY(),"")</f>
        <v/>
      </c>
      <c r="AB451">
        <f>IF(F451="","",IFERROR(VLOOKUP(F451,Action_Templates!$A:$Q,13,FALSE),""))</f>
        <v/>
      </c>
      <c r="AC451">
        <f>IF(F451="","",IFERROR(VLOOKUP(F451,Action_Templates!$A:$Q,14,FALSE),""))</f>
        <v/>
      </c>
      <c r="AD451">
        <f>IF(F451="","",IFERROR(VLOOKUP(F451,Action_Templates!$A:$Q,15,FALSE),""))</f>
        <v/>
      </c>
      <c r="AE451">
        <f>IF(O451="","",IF(OR(O451&lt;&gt;"Closed",AND(P451="YES",T451="Accepted")),"OK","BLOCKED"))</f>
        <v/>
      </c>
      <c r="AF451">
        <f>IF(OR(AC451="",R451=""),"",IF(ISNUMBER(SEARCH(AC451,R451)),"OK","CHECK"))</f>
        <v/>
      </c>
    </row>
    <row r="452">
      <c r="W452">
        <f>IF(AND(O452="Closed",AE452="OK"),TODAY(),"")</f>
        <v/>
      </c>
      <c r="AB452">
        <f>IF(F452="","",IFERROR(VLOOKUP(F452,Action_Templates!$A:$Q,13,FALSE),""))</f>
        <v/>
      </c>
      <c r="AC452">
        <f>IF(F452="","",IFERROR(VLOOKUP(F452,Action_Templates!$A:$Q,14,FALSE),""))</f>
        <v/>
      </c>
      <c r="AD452">
        <f>IF(F452="","",IFERROR(VLOOKUP(F452,Action_Templates!$A:$Q,15,FALSE),""))</f>
        <v/>
      </c>
      <c r="AE452">
        <f>IF(O452="","",IF(OR(O452&lt;&gt;"Closed",AND(P452="YES",T452="Accepted")),"OK","BLOCKED"))</f>
        <v/>
      </c>
      <c r="AF452">
        <f>IF(OR(AC452="",R452=""),"",IF(ISNUMBER(SEARCH(AC452,R452)),"OK","CHECK"))</f>
        <v/>
      </c>
    </row>
    <row r="453">
      <c r="W453">
        <f>IF(AND(O453="Closed",AE453="OK"),TODAY(),"")</f>
        <v/>
      </c>
      <c r="AB453">
        <f>IF(F453="","",IFERROR(VLOOKUP(F453,Action_Templates!$A:$Q,13,FALSE),""))</f>
        <v/>
      </c>
      <c r="AC453">
        <f>IF(F453="","",IFERROR(VLOOKUP(F453,Action_Templates!$A:$Q,14,FALSE),""))</f>
        <v/>
      </c>
      <c r="AD453">
        <f>IF(F453="","",IFERROR(VLOOKUP(F453,Action_Templates!$A:$Q,15,FALSE),""))</f>
        <v/>
      </c>
      <c r="AE453">
        <f>IF(O453="","",IF(OR(O453&lt;&gt;"Closed",AND(P453="YES",T453="Accepted")),"OK","BLOCKED"))</f>
        <v/>
      </c>
      <c r="AF453">
        <f>IF(OR(AC453="",R453=""),"",IF(ISNUMBER(SEARCH(AC453,R453)),"OK","CHECK"))</f>
        <v/>
      </c>
    </row>
    <row r="454">
      <c r="W454">
        <f>IF(AND(O454="Closed",AE454="OK"),TODAY(),"")</f>
        <v/>
      </c>
      <c r="AB454">
        <f>IF(F454="","",IFERROR(VLOOKUP(F454,Action_Templates!$A:$Q,13,FALSE),""))</f>
        <v/>
      </c>
      <c r="AC454">
        <f>IF(F454="","",IFERROR(VLOOKUP(F454,Action_Templates!$A:$Q,14,FALSE),""))</f>
        <v/>
      </c>
      <c r="AD454">
        <f>IF(F454="","",IFERROR(VLOOKUP(F454,Action_Templates!$A:$Q,15,FALSE),""))</f>
        <v/>
      </c>
      <c r="AE454">
        <f>IF(O454="","",IF(OR(O454&lt;&gt;"Closed",AND(P454="YES",T454="Accepted")),"OK","BLOCKED"))</f>
        <v/>
      </c>
      <c r="AF454">
        <f>IF(OR(AC454="",R454=""),"",IF(ISNUMBER(SEARCH(AC454,R454)),"OK","CHECK"))</f>
        <v/>
      </c>
    </row>
    <row r="455">
      <c r="W455">
        <f>IF(AND(O455="Closed",AE455="OK"),TODAY(),"")</f>
        <v/>
      </c>
      <c r="AB455">
        <f>IF(F455="","",IFERROR(VLOOKUP(F455,Action_Templates!$A:$Q,13,FALSE),""))</f>
        <v/>
      </c>
      <c r="AC455">
        <f>IF(F455="","",IFERROR(VLOOKUP(F455,Action_Templates!$A:$Q,14,FALSE),""))</f>
        <v/>
      </c>
      <c r="AD455">
        <f>IF(F455="","",IFERROR(VLOOKUP(F455,Action_Templates!$A:$Q,15,FALSE),""))</f>
        <v/>
      </c>
      <c r="AE455">
        <f>IF(O455="","",IF(OR(O455&lt;&gt;"Closed",AND(P455="YES",T455="Accepted")),"OK","BLOCKED"))</f>
        <v/>
      </c>
      <c r="AF455">
        <f>IF(OR(AC455="",R455=""),"",IF(ISNUMBER(SEARCH(AC455,R455)),"OK","CHECK"))</f>
        <v/>
      </c>
    </row>
    <row r="456">
      <c r="W456">
        <f>IF(AND(O456="Closed",AE456="OK"),TODAY(),"")</f>
        <v/>
      </c>
      <c r="AB456">
        <f>IF(F456="","",IFERROR(VLOOKUP(F456,Action_Templates!$A:$Q,13,FALSE),""))</f>
        <v/>
      </c>
      <c r="AC456">
        <f>IF(F456="","",IFERROR(VLOOKUP(F456,Action_Templates!$A:$Q,14,FALSE),""))</f>
        <v/>
      </c>
      <c r="AD456">
        <f>IF(F456="","",IFERROR(VLOOKUP(F456,Action_Templates!$A:$Q,15,FALSE),""))</f>
        <v/>
      </c>
      <c r="AE456">
        <f>IF(O456="","",IF(OR(O456&lt;&gt;"Closed",AND(P456="YES",T456="Accepted")),"OK","BLOCKED"))</f>
        <v/>
      </c>
      <c r="AF456">
        <f>IF(OR(AC456="",R456=""),"",IF(ISNUMBER(SEARCH(AC456,R456)),"OK","CHECK"))</f>
        <v/>
      </c>
    </row>
    <row r="457">
      <c r="W457">
        <f>IF(AND(O457="Closed",AE457="OK"),TODAY(),"")</f>
        <v/>
      </c>
      <c r="AB457">
        <f>IF(F457="","",IFERROR(VLOOKUP(F457,Action_Templates!$A:$Q,13,FALSE),""))</f>
        <v/>
      </c>
      <c r="AC457">
        <f>IF(F457="","",IFERROR(VLOOKUP(F457,Action_Templates!$A:$Q,14,FALSE),""))</f>
        <v/>
      </c>
      <c r="AD457">
        <f>IF(F457="","",IFERROR(VLOOKUP(F457,Action_Templates!$A:$Q,15,FALSE),""))</f>
        <v/>
      </c>
      <c r="AE457">
        <f>IF(O457="","",IF(OR(O457&lt;&gt;"Closed",AND(P457="YES",T457="Accepted")),"OK","BLOCKED"))</f>
        <v/>
      </c>
      <c r="AF457">
        <f>IF(OR(AC457="",R457=""),"",IF(ISNUMBER(SEARCH(AC457,R457)),"OK","CHECK"))</f>
        <v/>
      </c>
    </row>
    <row r="458">
      <c r="W458">
        <f>IF(AND(O458="Closed",AE458="OK"),TODAY(),"")</f>
        <v/>
      </c>
      <c r="AB458">
        <f>IF(F458="","",IFERROR(VLOOKUP(F458,Action_Templates!$A:$Q,13,FALSE),""))</f>
        <v/>
      </c>
      <c r="AC458">
        <f>IF(F458="","",IFERROR(VLOOKUP(F458,Action_Templates!$A:$Q,14,FALSE),""))</f>
        <v/>
      </c>
      <c r="AD458">
        <f>IF(F458="","",IFERROR(VLOOKUP(F458,Action_Templates!$A:$Q,15,FALSE),""))</f>
        <v/>
      </c>
      <c r="AE458">
        <f>IF(O458="","",IF(OR(O458&lt;&gt;"Closed",AND(P458="YES",T458="Accepted")),"OK","BLOCKED"))</f>
        <v/>
      </c>
      <c r="AF458">
        <f>IF(OR(AC458="",R458=""),"",IF(ISNUMBER(SEARCH(AC458,R458)),"OK","CHECK"))</f>
        <v/>
      </c>
    </row>
    <row r="459">
      <c r="W459">
        <f>IF(AND(O459="Closed",AE459="OK"),TODAY(),"")</f>
        <v/>
      </c>
      <c r="AB459">
        <f>IF(F459="","",IFERROR(VLOOKUP(F459,Action_Templates!$A:$Q,13,FALSE),""))</f>
        <v/>
      </c>
      <c r="AC459">
        <f>IF(F459="","",IFERROR(VLOOKUP(F459,Action_Templates!$A:$Q,14,FALSE),""))</f>
        <v/>
      </c>
      <c r="AD459">
        <f>IF(F459="","",IFERROR(VLOOKUP(F459,Action_Templates!$A:$Q,15,FALSE),""))</f>
        <v/>
      </c>
      <c r="AE459">
        <f>IF(O459="","",IF(OR(O459&lt;&gt;"Closed",AND(P459="YES",T459="Accepted")),"OK","BLOCKED"))</f>
        <v/>
      </c>
      <c r="AF459">
        <f>IF(OR(AC459="",R459=""),"",IF(ISNUMBER(SEARCH(AC459,R459)),"OK","CHECK"))</f>
        <v/>
      </c>
    </row>
    <row r="460">
      <c r="W460">
        <f>IF(AND(O460="Closed",AE460="OK"),TODAY(),"")</f>
        <v/>
      </c>
      <c r="AB460">
        <f>IF(F460="","",IFERROR(VLOOKUP(F460,Action_Templates!$A:$Q,13,FALSE),""))</f>
        <v/>
      </c>
      <c r="AC460">
        <f>IF(F460="","",IFERROR(VLOOKUP(F460,Action_Templates!$A:$Q,14,FALSE),""))</f>
        <v/>
      </c>
      <c r="AD460">
        <f>IF(F460="","",IFERROR(VLOOKUP(F460,Action_Templates!$A:$Q,15,FALSE),""))</f>
        <v/>
      </c>
      <c r="AE460">
        <f>IF(O460="","",IF(OR(O460&lt;&gt;"Closed",AND(P460="YES",T460="Accepted")),"OK","BLOCKED"))</f>
        <v/>
      </c>
      <c r="AF460">
        <f>IF(OR(AC460="",R460=""),"",IF(ISNUMBER(SEARCH(AC460,R460)),"OK","CHECK"))</f>
        <v/>
      </c>
    </row>
    <row r="461">
      <c r="W461">
        <f>IF(AND(O461="Closed",AE461="OK"),TODAY(),"")</f>
        <v/>
      </c>
      <c r="AB461">
        <f>IF(F461="","",IFERROR(VLOOKUP(F461,Action_Templates!$A:$Q,13,FALSE),""))</f>
        <v/>
      </c>
      <c r="AC461">
        <f>IF(F461="","",IFERROR(VLOOKUP(F461,Action_Templates!$A:$Q,14,FALSE),""))</f>
        <v/>
      </c>
      <c r="AD461">
        <f>IF(F461="","",IFERROR(VLOOKUP(F461,Action_Templates!$A:$Q,15,FALSE),""))</f>
        <v/>
      </c>
      <c r="AE461">
        <f>IF(O461="","",IF(OR(O461&lt;&gt;"Closed",AND(P461="YES",T461="Accepted")),"OK","BLOCKED"))</f>
        <v/>
      </c>
      <c r="AF461">
        <f>IF(OR(AC461="",R461=""),"",IF(ISNUMBER(SEARCH(AC461,R461)),"OK","CHECK"))</f>
        <v/>
      </c>
    </row>
    <row r="462">
      <c r="W462">
        <f>IF(AND(O462="Closed",AE462="OK"),TODAY(),"")</f>
        <v/>
      </c>
      <c r="AB462">
        <f>IF(F462="","",IFERROR(VLOOKUP(F462,Action_Templates!$A:$Q,13,FALSE),""))</f>
        <v/>
      </c>
      <c r="AC462">
        <f>IF(F462="","",IFERROR(VLOOKUP(F462,Action_Templates!$A:$Q,14,FALSE),""))</f>
        <v/>
      </c>
      <c r="AD462">
        <f>IF(F462="","",IFERROR(VLOOKUP(F462,Action_Templates!$A:$Q,15,FALSE),""))</f>
        <v/>
      </c>
      <c r="AE462">
        <f>IF(O462="","",IF(OR(O462&lt;&gt;"Closed",AND(P462="YES",T462="Accepted")),"OK","BLOCKED"))</f>
        <v/>
      </c>
      <c r="AF462">
        <f>IF(OR(AC462="",R462=""),"",IF(ISNUMBER(SEARCH(AC462,R462)),"OK","CHECK"))</f>
        <v/>
      </c>
    </row>
    <row r="463">
      <c r="W463">
        <f>IF(AND(O463="Closed",AE463="OK"),TODAY(),"")</f>
        <v/>
      </c>
      <c r="AB463">
        <f>IF(F463="","",IFERROR(VLOOKUP(F463,Action_Templates!$A:$Q,13,FALSE),""))</f>
        <v/>
      </c>
      <c r="AC463">
        <f>IF(F463="","",IFERROR(VLOOKUP(F463,Action_Templates!$A:$Q,14,FALSE),""))</f>
        <v/>
      </c>
      <c r="AD463">
        <f>IF(F463="","",IFERROR(VLOOKUP(F463,Action_Templates!$A:$Q,15,FALSE),""))</f>
        <v/>
      </c>
      <c r="AE463">
        <f>IF(O463="","",IF(OR(O463&lt;&gt;"Closed",AND(P463="YES",T463="Accepted")),"OK","BLOCKED"))</f>
        <v/>
      </c>
      <c r="AF463">
        <f>IF(OR(AC463="",R463=""),"",IF(ISNUMBER(SEARCH(AC463,R463)),"OK","CHECK"))</f>
        <v/>
      </c>
    </row>
    <row r="464">
      <c r="W464">
        <f>IF(AND(O464="Closed",AE464="OK"),TODAY(),"")</f>
        <v/>
      </c>
      <c r="AB464">
        <f>IF(F464="","",IFERROR(VLOOKUP(F464,Action_Templates!$A:$Q,13,FALSE),""))</f>
        <v/>
      </c>
      <c r="AC464">
        <f>IF(F464="","",IFERROR(VLOOKUP(F464,Action_Templates!$A:$Q,14,FALSE),""))</f>
        <v/>
      </c>
      <c r="AD464">
        <f>IF(F464="","",IFERROR(VLOOKUP(F464,Action_Templates!$A:$Q,15,FALSE),""))</f>
        <v/>
      </c>
      <c r="AE464">
        <f>IF(O464="","",IF(OR(O464&lt;&gt;"Closed",AND(P464="YES",T464="Accepted")),"OK","BLOCKED"))</f>
        <v/>
      </c>
      <c r="AF464">
        <f>IF(OR(AC464="",R464=""),"",IF(ISNUMBER(SEARCH(AC464,R464)),"OK","CHECK"))</f>
        <v/>
      </c>
    </row>
    <row r="465">
      <c r="W465">
        <f>IF(AND(O465="Closed",AE465="OK"),TODAY(),"")</f>
        <v/>
      </c>
      <c r="AB465">
        <f>IF(F465="","",IFERROR(VLOOKUP(F465,Action_Templates!$A:$Q,13,FALSE),""))</f>
        <v/>
      </c>
      <c r="AC465">
        <f>IF(F465="","",IFERROR(VLOOKUP(F465,Action_Templates!$A:$Q,14,FALSE),""))</f>
        <v/>
      </c>
      <c r="AD465">
        <f>IF(F465="","",IFERROR(VLOOKUP(F465,Action_Templates!$A:$Q,15,FALSE),""))</f>
        <v/>
      </c>
      <c r="AE465">
        <f>IF(O465="","",IF(OR(O465&lt;&gt;"Closed",AND(P465="YES",T465="Accepted")),"OK","BLOCKED"))</f>
        <v/>
      </c>
      <c r="AF465">
        <f>IF(OR(AC465="",R465=""),"",IF(ISNUMBER(SEARCH(AC465,R465)),"OK","CHECK"))</f>
        <v/>
      </c>
    </row>
    <row r="466">
      <c r="W466">
        <f>IF(AND(O466="Closed",AE466="OK"),TODAY(),"")</f>
        <v/>
      </c>
      <c r="AB466">
        <f>IF(F466="","",IFERROR(VLOOKUP(F466,Action_Templates!$A:$Q,13,FALSE),""))</f>
        <v/>
      </c>
      <c r="AC466">
        <f>IF(F466="","",IFERROR(VLOOKUP(F466,Action_Templates!$A:$Q,14,FALSE),""))</f>
        <v/>
      </c>
      <c r="AD466">
        <f>IF(F466="","",IFERROR(VLOOKUP(F466,Action_Templates!$A:$Q,15,FALSE),""))</f>
        <v/>
      </c>
      <c r="AE466">
        <f>IF(O466="","",IF(OR(O466&lt;&gt;"Closed",AND(P466="YES",T466="Accepted")),"OK","BLOCKED"))</f>
        <v/>
      </c>
      <c r="AF466">
        <f>IF(OR(AC466="",R466=""),"",IF(ISNUMBER(SEARCH(AC466,R466)),"OK","CHECK"))</f>
        <v/>
      </c>
    </row>
    <row r="467">
      <c r="W467">
        <f>IF(AND(O467="Closed",AE467="OK"),TODAY(),"")</f>
        <v/>
      </c>
      <c r="AB467">
        <f>IF(F467="","",IFERROR(VLOOKUP(F467,Action_Templates!$A:$Q,13,FALSE),""))</f>
        <v/>
      </c>
      <c r="AC467">
        <f>IF(F467="","",IFERROR(VLOOKUP(F467,Action_Templates!$A:$Q,14,FALSE),""))</f>
        <v/>
      </c>
      <c r="AD467">
        <f>IF(F467="","",IFERROR(VLOOKUP(F467,Action_Templates!$A:$Q,15,FALSE),""))</f>
        <v/>
      </c>
      <c r="AE467">
        <f>IF(O467="","",IF(OR(O467&lt;&gt;"Closed",AND(P467="YES",T467="Accepted")),"OK","BLOCKED"))</f>
        <v/>
      </c>
      <c r="AF467">
        <f>IF(OR(AC467="",R467=""),"",IF(ISNUMBER(SEARCH(AC467,R467)),"OK","CHECK"))</f>
        <v/>
      </c>
    </row>
    <row r="468">
      <c r="W468">
        <f>IF(AND(O468="Closed",AE468="OK"),TODAY(),"")</f>
        <v/>
      </c>
      <c r="AB468">
        <f>IF(F468="","",IFERROR(VLOOKUP(F468,Action_Templates!$A:$Q,13,FALSE),""))</f>
        <v/>
      </c>
      <c r="AC468">
        <f>IF(F468="","",IFERROR(VLOOKUP(F468,Action_Templates!$A:$Q,14,FALSE),""))</f>
        <v/>
      </c>
      <c r="AD468">
        <f>IF(F468="","",IFERROR(VLOOKUP(F468,Action_Templates!$A:$Q,15,FALSE),""))</f>
        <v/>
      </c>
      <c r="AE468">
        <f>IF(O468="","",IF(OR(O468&lt;&gt;"Closed",AND(P468="YES",T468="Accepted")),"OK","BLOCKED"))</f>
        <v/>
      </c>
      <c r="AF468">
        <f>IF(OR(AC468="",R468=""),"",IF(ISNUMBER(SEARCH(AC468,R468)),"OK","CHECK"))</f>
        <v/>
      </c>
    </row>
    <row r="469">
      <c r="W469">
        <f>IF(AND(O469="Closed",AE469="OK"),TODAY(),"")</f>
        <v/>
      </c>
      <c r="AB469">
        <f>IF(F469="","",IFERROR(VLOOKUP(F469,Action_Templates!$A:$Q,13,FALSE),""))</f>
        <v/>
      </c>
      <c r="AC469">
        <f>IF(F469="","",IFERROR(VLOOKUP(F469,Action_Templates!$A:$Q,14,FALSE),""))</f>
        <v/>
      </c>
      <c r="AD469">
        <f>IF(F469="","",IFERROR(VLOOKUP(F469,Action_Templates!$A:$Q,15,FALSE),""))</f>
        <v/>
      </c>
      <c r="AE469">
        <f>IF(O469="","",IF(OR(O469&lt;&gt;"Closed",AND(P469="YES",T469="Accepted")),"OK","BLOCKED"))</f>
        <v/>
      </c>
      <c r="AF469">
        <f>IF(OR(AC469="",R469=""),"",IF(ISNUMBER(SEARCH(AC469,R469)),"OK","CHECK"))</f>
        <v/>
      </c>
    </row>
    <row r="470">
      <c r="W470">
        <f>IF(AND(O470="Closed",AE470="OK"),TODAY(),"")</f>
        <v/>
      </c>
      <c r="AB470">
        <f>IF(F470="","",IFERROR(VLOOKUP(F470,Action_Templates!$A:$Q,13,FALSE),""))</f>
        <v/>
      </c>
      <c r="AC470">
        <f>IF(F470="","",IFERROR(VLOOKUP(F470,Action_Templates!$A:$Q,14,FALSE),""))</f>
        <v/>
      </c>
      <c r="AD470">
        <f>IF(F470="","",IFERROR(VLOOKUP(F470,Action_Templates!$A:$Q,15,FALSE),""))</f>
        <v/>
      </c>
      <c r="AE470">
        <f>IF(O470="","",IF(OR(O470&lt;&gt;"Closed",AND(P470="YES",T470="Accepted")),"OK","BLOCKED"))</f>
        <v/>
      </c>
      <c r="AF470">
        <f>IF(OR(AC470="",R470=""),"",IF(ISNUMBER(SEARCH(AC470,R470)),"OK","CHECK"))</f>
        <v/>
      </c>
    </row>
    <row r="471">
      <c r="W471">
        <f>IF(AND(O471="Closed",AE471="OK"),TODAY(),"")</f>
        <v/>
      </c>
      <c r="AB471">
        <f>IF(F471="","",IFERROR(VLOOKUP(F471,Action_Templates!$A:$Q,13,FALSE),""))</f>
        <v/>
      </c>
      <c r="AC471">
        <f>IF(F471="","",IFERROR(VLOOKUP(F471,Action_Templates!$A:$Q,14,FALSE),""))</f>
        <v/>
      </c>
      <c r="AD471">
        <f>IF(F471="","",IFERROR(VLOOKUP(F471,Action_Templates!$A:$Q,15,FALSE),""))</f>
        <v/>
      </c>
      <c r="AE471">
        <f>IF(O471="","",IF(OR(O471&lt;&gt;"Closed",AND(P471="YES",T471="Accepted")),"OK","BLOCKED"))</f>
        <v/>
      </c>
      <c r="AF471">
        <f>IF(OR(AC471="",R471=""),"",IF(ISNUMBER(SEARCH(AC471,R471)),"OK","CHECK"))</f>
        <v/>
      </c>
    </row>
    <row r="472">
      <c r="W472">
        <f>IF(AND(O472="Closed",AE472="OK"),TODAY(),"")</f>
        <v/>
      </c>
      <c r="AB472">
        <f>IF(F472="","",IFERROR(VLOOKUP(F472,Action_Templates!$A:$Q,13,FALSE),""))</f>
        <v/>
      </c>
      <c r="AC472">
        <f>IF(F472="","",IFERROR(VLOOKUP(F472,Action_Templates!$A:$Q,14,FALSE),""))</f>
        <v/>
      </c>
      <c r="AD472">
        <f>IF(F472="","",IFERROR(VLOOKUP(F472,Action_Templates!$A:$Q,15,FALSE),""))</f>
        <v/>
      </c>
      <c r="AE472">
        <f>IF(O472="","",IF(OR(O472&lt;&gt;"Closed",AND(P472="YES",T472="Accepted")),"OK","BLOCKED"))</f>
        <v/>
      </c>
      <c r="AF472">
        <f>IF(OR(AC472="",R472=""),"",IF(ISNUMBER(SEARCH(AC472,R472)),"OK","CHECK"))</f>
        <v/>
      </c>
    </row>
    <row r="473">
      <c r="W473">
        <f>IF(AND(O473="Closed",AE473="OK"),TODAY(),"")</f>
        <v/>
      </c>
      <c r="AB473">
        <f>IF(F473="","",IFERROR(VLOOKUP(F473,Action_Templates!$A:$Q,13,FALSE),""))</f>
        <v/>
      </c>
      <c r="AC473">
        <f>IF(F473="","",IFERROR(VLOOKUP(F473,Action_Templates!$A:$Q,14,FALSE),""))</f>
        <v/>
      </c>
      <c r="AD473">
        <f>IF(F473="","",IFERROR(VLOOKUP(F473,Action_Templates!$A:$Q,15,FALSE),""))</f>
        <v/>
      </c>
      <c r="AE473">
        <f>IF(O473="","",IF(OR(O473&lt;&gt;"Closed",AND(P473="YES",T473="Accepted")),"OK","BLOCKED"))</f>
        <v/>
      </c>
      <c r="AF473">
        <f>IF(OR(AC473="",R473=""),"",IF(ISNUMBER(SEARCH(AC473,R473)),"OK","CHECK"))</f>
        <v/>
      </c>
    </row>
    <row r="474">
      <c r="W474">
        <f>IF(AND(O474="Closed",AE474="OK"),TODAY(),"")</f>
        <v/>
      </c>
      <c r="AB474">
        <f>IF(F474="","",IFERROR(VLOOKUP(F474,Action_Templates!$A:$Q,13,FALSE),""))</f>
        <v/>
      </c>
      <c r="AC474">
        <f>IF(F474="","",IFERROR(VLOOKUP(F474,Action_Templates!$A:$Q,14,FALSE),""))</f>
        <v/>
      </c>
      <c r="AD474">
        <f>IF(F474="","",IFERROR(VLOOKUP(F474,Action_Templates!$A:$Q,15,FALSE),""))</f>
        <v/>
      </c>
      <c r="AE474">
        <f>IF(O474="","",IF(OR(O474&lt;&gt;"Closed",AND(P474="YES",T474="Accepted")),"OK","BLOCKED"))</f>
        <v/>
      </c>
      <c r="AF474">
        <f>IF(OR(AC474="",R474=""),"",IF(ISNUMBER(SEARCH(AC474,R474)),"OK","CHECK"))</f>
        <v/>
      </c>
    </row>
    <row r="475">
      <c r="W475">
        <f>IF(AND(O475="Closed",AE475="OK"),TODAY(),"")</f>
        <v/>
      </c>
      <c r="AB475">
        <f>IF(F475="","",IFERROR(VLOOKUP(F475,Action_Templates!$A:$Q,13,FALSE),""))</f>
        <v/>
      </c>
      <c r="AC475">
        <f>IF(F475="","",IFERROR(VLOOKUP(F475,Action_Templates!$A:$Q,14,FALSE),""))</f>
        <v/>
      </c>
      <c r="AD475">
        <f>IF(F475="","",IFERROR(VLOOKUP(F475,Action_Templates!$A:$Q,15,FALSE),""))</f>
        <v/>
      </c>
      <c r="AE475">
        <f>IF(O475="","",IF(OR(O475&lt;&gt;"Closed",AND(P475="YES",T475="Accepted")),"OK","BLOCKED"))</f>
        <v/>
      </c>
      <c r="AF475">
        <f>IF(OR(AC475="",R475=""),"",IF(ISNUMBER(SEARCH(AC475,R475)),"OK","CHECK"))</f>
        <v/>
      </c>
    </row>
    <row r="476">
      <c r="W476">
        <f>IF(AND(O476="Closed",AE476="OK"),TODAY(),"")</f>
        <v/>
      </c>
      <c r="AB476">
        <f>IF(F476="","",IFERROR(VLOOKUP(F476,Action_Templates!$A:$Q,13,FALSE),""))</f>
        <v/>
      </c>
      <c r="AC476">
        <f>IF(F476="","",IFERROR(VLOOKUP(F476,Action_Templates!$A:$Q,14,FALSE),""))</f>
        <v/>
      </c>
      <c r="AD476">
        <f>IF(F476="","",IFERROR(VLOOKUP(F476,Action_Templates!$A:$Q,15,FALSE),""))</f>
        <v/>
      </c>
      <c r="AE476">
        <f>IF(O476="","",IF(OR(O476&lt;&gt;"Closed",AND(P476="YES",T476="Accepted")),"OK","BLOCKED"))</f>
        <v/>
      </c>
      <c r="AF476">
        <f>IF(OR(AC476="",R476=""),"",IF(ISNUMBER(SEARCH(AC476,R476)),"OK","CHECK"))</f>
        <v/>
      </c>
    </row>
    <row r="477">
      <c r="W477">
        <f>IF(AND(O477="Closed",AE477="OK"),TODAY(),"")</f>
        <v/>
      </c>
      <c r="AB477">
        <f>IF(F477="","",IFERROR(VLOOKUP(F477,Action_Templates!$A:$Q,13,FALSE),""))</f>
        <v/>
      </c>
      <c r="AC477">
        <f>IF(F477="","",IFERROR(VLOOKUP(F477,Action_Templates!$A:$Q,14,FALSE),""))</f>
        <v/>
      </c>
      <c r="AD477">
        <f>IF(F477="","",IFERROR(VLOOKUP(F477,Action_Templates!$A:$Q,15,FALSE),""))</f>
        <v/>
      </c>
      <c r="AE477">
        <f>IF(O477="","",IF(OR(O477&lt;&gt;"Closed",AND(P477="YES",T477="Accepted")),"OK","BLOCKED"))</f>
        <v/>
      </c>
      <c r="AF477">
        <f>IF(OR(AC477="",R477=""),"",IF(ISNUMBER(SEARCH(AC477,R477)),"OK","CHECK"))</f>
        <v/>
      </c>
    </row>
    <row r="478">
      <c r="W478">
        <f>IF(AND(O478="Closed",AE478="OK"),TODAY(),"")</f>
        <v/>
      </c>
      <c r="AB478">
        <f>IF(F478="","",IFERROR(VLOOKUP(F478,Action_Templates!$A:$Q,13,FALSE),""))</f>
        <v/>
      </c>
      <c r="AC478">
        <f>IF(F478="","",IFERROR(VLOOKUP(F478,Action_Templates!$A:$Q,14,FALSE),""))</f>
        <v/>
      </c>
      <c r="AD478">
        <f>IF(F478="","",IFERROR(VLOOKUP(F478,Action_Templates!$A:$Q,15,FALSE),""))</f>
        <v/>
      </c>
      <c r="AE478">
        <f>IF(O478="","",IF(OR(O478&lt;&gt;"Closed",AND(P478="YES",T478="Accepted")),"OK","BLOCKED"))</f>
        <v/>
      </c>
      <c r="AF478">
        <f>IF(OR(AC478="",R478=""),"",IF(ISNUMBER(SEARCH(AC478,R478)),"OK","CHECK"))</f>
        <v/>
      </c>
    </row>
    <row r="479">
      <c r="W479">
        <f>IF(AND(O479="Closed",AE479="OK"),TODAY(),"")</f>
        <v/>
      </c>
      <c r="AB479">
        <f>IF(F479="","",IFERROR(VLOOKUP(F479,Action_Templates!$A:$Q,13,FALSE),""))</f>
        <v/>
      </c>
      <c r="AC479">
        <f>IF(F479="","",IFERROR(VLOOKUP(F479,Action_Templates!$A:$Q,14,FALSE),""))</f>
        <v/>
      </c>
      <c r="AD479">
        <f>IF(F479="","",IFERROR(VLOOKUP(F479,Action_Templates!$A:$Q,15,FALSE),""))</f>
        <v/>
      </c>
      <c r="AE479">
        <f>IF(O479="","",IF(OR(O479&lt;&gt;"Closed",AND(P479="YES",T479="Accepted")),"OK","BLOCKED"))</f>
        <v/>
      </c>
      <c r="AF479">
        <f>IF(OR(AC479="",R479=""),"",IF(ISNUMBER(SEARCH(AC479,R479)),"OK","CHECK"))</f>
        <v/>
      </c>
    </row>
    <row r="480">
      <c r="W480">
        <f>IF(AND(O480="Closed",AE480="OK"),TODAY(),"")</f>
        <v/>
      </c>
      <c r="AB480">
        <f>IF(F480="","",IFERROR(VLOOKUP(F480,Action_Templates!$A:$Q,13,FALSE),""))</f>
        <v/>
      </c>
      <c r="AC480">
        <f>IF(F480="","",IFERROR(VLOOKUP(F480,Action_Templates!$A:$Q,14,FALSE),""))</f>
        <v/>
      </c>
      <c r="AD480">
        <f>IF(F480="","",IFERROR(VLOOKUP(F480,Action_Templates!$A:$Q,15,FALSE),""))</f>
        <v/>
      </c>
      <c r="AE480">
        <f>IF(O480="","",IF(OR(O480&lt;&gt;"Closed",AND(P480="YES",T480="Accepted")),"OK","BLOCKED"))</f>
        <v/>
      </c>
      <c r="AF480">
        <f>IF(OR(AC480="",R480=""),"",IF(ISNUMBER(SEARCH(AC480,R480)),"OK","CHECK"))</f>
        <v/>
      </c>
    </row>
    <row r="481">
      <c r="W481">
        <f>IF(AND(O481="Closed",AE481="OK"),TODAY(),"")</f>
        <v/>
      </c>
      <c r="AB481">
        <f>IF(F481="","",IFERROR(VLOOKUP(F481,Action_Templates!$A:$Q,13,FALSE),""))</f>
        <v/>
      </c>
      <c r="AC481">
        <f>IF(F481="","",IFERROR(VLOOKUP(F481,Action_Templates!$A:$Q,14,FALSE),""))</f>
        <v/>
      </c>
      <c r="AD481">
        <f>IF(F481="","",IFERROR(VLOOKUP(F481,Action_Templates!$A:$Q,15,FALSE),""))</f>
        <v/>
      </c>
      <c r="AE481">
        <f>IF(O481="","",IF(OR(O481&lt;&gt;"Closed",AND(P481="YES",T481="Accepted")),"OK","BLOCKED"))</f>
        <v/>
      </c>
      <c r="AF481">
        <f>IF(OR(AC481="",R481=""),"",IF(ISNUMBER(SEARCH(AC481,R481)),"OK","CHECK"))</f>
        <v/>
      </c>
    </row>
    <row r="482">
      <c r="W482">
        <f>IF(AND(O482="Closed",AE482="OK"),TODAY(),"")</f>
        <v/>
      </c>
      <c r="AB482">
        <f>IF(F482="","",IFERROR(VLOOKUP(F482,Action_Templates!$A:$Q,13,FALSE),""))</f>
        <v/>
      </c>
      <c r="AC482">
        <f>IF(F482="","",IFERROR(VLOOKUP(F482,Action_Templates!$A:$Q,14,FALSE),""))</f>
        <v/>
      </c>
      <c r="AD482">
        <f>IF(F482="","",IFERROR(VLOOKUP(F482,Action_Templates!$A:$Q,15,FALSE),""))</f>
        <v/>
      </c>
      <c r="AE482">
        <f>IF(O482="","",IF(OR(O482&lt;&gt;"Closed",AND(P482="YES",T482="Accepted")),"OK","BLOCKED"))</f>
        <v/>
      </c>
      <c r="AF482">
        <f>IF(OR(AC482="",R482=""),"",IF(ISNUMBER(SEARCH(AC482,R482)),"OK","CHECK"))</f>
        <v/>
      </c>
    </row>
    <row r="483">
      <c r="W483">
        <f>IF(AND(O483="Closed",AE483="OK"),TODAY(),"")</f>
        <v/>
      </c>
      <c r="AB483">
        <f>IF(F483="","",IFERROR(VLOOKUP(F483,Action_Templates!$A:$Q,13,FALSE),""))</f>
        <v/>
      </c>
      <c r="AC483">
        <f>IF(F483="","",IFERROR(VLOOKUP(F483,Action_Templates!$A:$Q,14,FALSE),""))</f>
        <v/>
      </c>
      <c r="AD483">
        <f>IF(F483="","",IFERROR(VLOOKUP(F483,Action_Templates!$A:$Q,15,FALSE),""))</f>
        <v/>
      </c>
      <c r="AE483">
        <f>IF(O483="","",IF(OR(O483&lt;&gt;"Closed",AND(P483="YES",T483="Accepted")),"OK","BLOCKED"))</f>
        <v/>
      </c>
      <c r="AF483">
        <f>IF(OR(AC483="",R483=""),"",IF(ISNUMBER(SEARCH(AC483,R483)),"OK","CHECK"))</f>
        <v/>
      </c>
    </row>
    <row r="484">
      <c r="W484">
        <f>IF(AND(O484="Closed",AE484="OK"),TODAY(),"")</f>
        <v/>
      </c>
      <c r="AB484">
        <f>IF(F484="","",IFERROR(VLOOKUP(F484,Action_Templates!$A:$Q,13,FALSE),""))</f>
        <v/>
      </c>
      <c r="AC484">
        <f>IF(F484="","",IFERROR(VLOOKUP(F484,Action_Templates!$A:$Q,14,FALSE),""))</f>
        <v/>
      </c>
      <c r="AD484">
        <f>IF(F484="","",IFERROR(VLOOKUP(F484,Action_Templates!$A:$Q,15,FALSE),""))</f>
        <v/>
      </c>
      <c r="AE484">
        <f>IF(O484="","",IF(OR(O484&lt;&gt;"Closed",AND(P484="YES",T484="Accepted")),"OK","BLOCKED"))</f>
        <v/>
      </c>
      <c r="AF484">
        <f>IF(OR(AC484="",R484=""),"",IF(ISNUMBER(SEARCH(AC484,R484)),"OK","CHECK"))</f>
        <v/>
      </c>
    </row>
    <row r="485">
      <c r="W485">
        <f>IF(AND(O485="Closed",AE485="OK"),TODAY(),"")</f>
        <v/>
      </c>
      <c r="AB485">
        <f>IF(F485="","",IFERROR(VLOOKUP(F485,Action_Templates!$A:$Q,13,FALSE),""))</f>
        <v/>
      </c>
      <c r="AC485">
        <f>IF(F485="","",IFERROR(VLOOKUP(F485,Action_Templates!$A:$Q,14,FALSE),""))</f>
        <v/>
      </c>
      <c r="AD485">
        <f>IF(F485="","",IFERROR(VLOOKUP(F485,Action_Templates!$A:$Q,15,FALSE),""))</f>
        <v/>
      </c>
      <c r="AE485">
        <f>IF(O485="","",IF(OR(O485&lt;&gt;"Closed",AND(P485="YES",T485="Accepted")),"OK","BLOCKED"))</f>
        <v/>
      </c>
      <c r="AF485">
        <f>IF(OR(AC485="",R485=""),"",IF(ISNUMBER(SEARCH(AC485,R485)),"OK","CHECK"))</f>
        <v/>
      </c>
    </row>
    <row r="486">
      <c r="W486">
        <f>IF(AND(O486="Closed",AE486="OK"),TODAY(),"")</f>
        <v/>
      </c>
      <c r="AB486">
        <f>IF(F486="","",IFERROR(VLOOKUP(F486,Action_Templates!$A:$Q,13,FALSE),""))</f>
        <v/>
      </c>
      <c r="AC486">
        <f>IF(F486="","",IFERROR(VLOOKUP(F486,Action_Templates!$A:$Q,14,FALSE),""))</f>
        <v/>
      </c>
      <c r="AD486">
        <f>IF(F486="","",IFERROR(VLOOKUP(F486,Action_Templates!$A:$Q,15,FALSE),""))</f>
        <v/>
      </c>
      <c r="AE486">
        <f>IF(O486="","",IF(OR(O486&lt;&gt;"Closed",AND(P486="YES",T486="Accepted")),"OK","BLOCKED"))</f>
        <v/>
      </c>
      <c r="AF486">
        <f>IF(OR(AC486="",R486=""),"",IF(ISNUMBER(SEARCH(AC486,R486)),"OK","CHECK"))</f>
        <v/>
      </c>
    </row>
    <row r="487">
      <c r="W487">
        <f>IF(AND(O487="Closed",AE487="OK"),TODAY(),"")</f>
        <v/>
      </c>
      <c r="AB487">
        <f>IF(F487="","",IFERROR(VLOOKUP(F487,Action_Templates!$A:$Q,13,FALSE),""))</f>
        <v/>
      </c>
      <c r="AC487">
        <f>IF(F487="","",IFERROR(VLOOKUP(F487,Action_Templates!$A:$Q,14,FALSE),""))</f>
        <v/>
      </c>
      <c r="AD487">
        <f>IF(F487="","",IFERROR(VLOOKUP(F487,Action_Templates!$A:$Q,15,FALSE),""))</f>
        <v/>
      </c>
      <c r="AE487">
        <f>IF(O487="","",IF(OR(O487&lt;&gt;"Closed",AND(P487="YES",T487="Accepted")),"OK","BLOCKED"))</f>
        <v/>
      </c>
      <c r="AF487">
        <f>IF(OR(AC487="",R487=""),"",IF(ISNUMBER(SEARCH(AC487,R487)),"OK","CHECK"))</f>
        <v/>
      </c>
    </row>
    <row r="488">
      <c r="W488">
        <f>IF(AND(O488="Closed",AE488="OK"),TODAY(),"")</f>
        <v/>
      </c>
      <c r="AB488">
        <f>IF(F488="","",IFERROR(VLOOKUP(F488,Action_Templates!$A:$Q,13,FALSE),""))</f>
        <v/>
      </c>
      <c r="AC488">
        <f>IF(F488="","",IFERROR(VLOOKUP(F488,Action_Templates!$A:$Q,14,FALSE),""))</f>
        <v/>
      </c>
      <c r="AD488">
        <f>IF(F488="","",IFERROR(VLOOKUP(F488,Action_Templates!$A:$Q,15,FALSE),""))</f>
        <v/>
      </c>
      <c r="AE488">
        <f>IF(O488="","",IF(OR(O488&lt;&gt;"Closed",AND(P488="YES",T488="Accepted")),"OK","BLOCKED"))</f>
        <v/>
      </c>
      <c r="AF488">
        <f>IF(OR(AC488="",R488=""),"",IF(ISNUMBER(SEARCH(AC488,R488)),"OK","CHECK"))</f>
        <v/>
      </c>
    </row>
    <row r="489">
      <c r="W489">
        <f>IF(AND(O489="Closed",AE489="OK"),TODAY(),"")</f>
        <v/>
      </c>
      <c r="AB489">
        <f>IF(F489="","",IFERROR(VLOOKUP(F489,Action_Templates!$A:$Q,13,FALSE),""))</f>
        <v/>
      </c>
      <c r="AC489">
        <f>IF(F489="","",IFERROR(VLOOKUP(F489,Action_Templates!$A:$Q,14,FALSE),""))</f>
        <v/>
      </c>
      <c r="AD489">
        <f>IF(F489="","",IFERROR(VLOOKUP(F489,Action_Templates!$A:$Q,15,FALSE),""))</f>
        <v/>
      </c>
      <c r="AE489">
        <f>IF(O489="","",IF(OR(O489&lt;&gt;"Closed",AND(P489="YES",T489="Accepted")),"OK","BLOCKED"))</f>
        <v/>
      </c>
      <c r="AF489">
        <f>IF(OR(AC489="",R489=""),"",IF(ISNUMBER(SEARCH(AC489,R489)),"OK","CHECK"))</f>
        <v/>
      </c>
    </row>
    <row r="490">
      <c r="W490">
        <f>IF(AND(O490="Closed",AE490="OK"),TODAY(),"")</f>
        <v/>
      </c>
      <c r="AB490">
        <f>IF(F490="","",IFERROR(VLOOKUP(F490,Action_Templates!$A:$Q,13,FALSE),""))</f>
        <v/>
      </c>
      <c r="AC490">
        <f>IF(F490="","",IFERROR(VLOOKUP(F490,Action_Templates!$A:$Q,14,FALSE),""))</f>
        <v/>
      </c>
      <c r="AD490">
        <f>IF(F490="","",IFERROR(VLOOKUP(F490,Action_Templates!$A:$Q,15,FALSE),""))</f>
        <v/>
      </c>
      <c r="AE490">
        <f>IF(O490="","",IF(OR(O490&lt;&gt;"Closed",AND(P490="YES",T490="Accepted")),"OK","BLOCKED"))</f>
        <v/>
      </c>
      <c r="AF490">
        <f>IF(OR(AC490="",R490=""),"",IF(ISNUMBER(SEARCH(AC490,R490)),"OK","CHECK"))</f>
        <v/>
      </c>
    </row>
    <row r="491">
      <c r="W491">
        <f>IF(AND(O491="Closed",AE491="OK"),TODAY(),"")</f>
        <v/>
      </c>
      <c r="AB491">
        <f>IF(F491="","",IFERROR(VLOOKUP(F491,Action_Templates!$A:$Q,13,FALSE),""))</f>
        <v/>
      </c>
      <c r="AC491">
        <f>IF(F491="","",IFERROR(VLOOKUP(F491,Action_Templates!$A:$Q,14,FALSE),""))</f>
        <v/>
      </c>
      <c r="AD491">
        <f>IF(F491="","",IFERROR(VLOOKUP(F491,Action_Templates!$A:$Q,15,FALSE),""))</f>
        <v/>
      </c>
      <c r="AE491">
        <f>IF(O491="","",IF(OR(O491&lt;&gt;"Closed",AND(P491="YES",T491="Accepted")),"OK","BLOCKED"))</f>
        <v/>
      </c>
      <c r="AF491">
        <f>IF(OR(AC491="",R491=""),"",IF(ISNUMBER(SEARCH(AC491,R491)),"OK","CHECK"))</f>
        <v/>
      </c>
    </row>
    <row r="492">
      <c r="W492">
        <f>IF(AND(O492="Closed",AE492="OK"),TODAY(),"")</f>
        <v/>
      </c>
      <c r="AB492">
        <f>IF(F492="","",IFERROR(VLOOKUP(F492,Action_Templates!$A:$Q,13,FALSE),""))</f>
        <v/>
      </c>
      <c r="AC492">
        <f>IF(F492="","",IFERROR(VLOOKUP(F492,Action_Templates!$A:$Q,14,FALSE),""))</f>
        <v/>
      </c>
      <c r="AD492">
        <f>IF(F492="","",IFERROR(VLOOKUP(F492,Action_Templates!$A:$Q,15,FALSE),""))</f>
        <v/>
      </c>
      <c r="AE492">
        <f>IF(O492="","",IF(OR(O492&lt;&gt;"Closed",AND(P492="YES",T492="Accepted")),"OK","BLOCKED"))</f>
        <v/>
      </c>
      <c r="AF492">
        <f>IF(OR(AC492="",R492=""),"",IF(ISNUMBER(SEARCH(AC492,R492)),"OK","CHECK"))</f>
        <v/>
      </c>
    </row>
    <row r="493">
      <c r="W493">
        <f>IF(AND(O493="Closed",AE493="OK"),TODAY(),"")</f>
        <v/>
      </c>
      <c r="AB493">
        <f>IF(F493="","",IFERROR(VLOOKUP(F493,Action_Templates!$A:$Q,13,FALSE),""))</f>
        <v/>
      </c>
      <c r="AC493">
        <f>IF(F493="","",IFERROR(VLOOKUP(F493,Action_Templates!$A:$Q,14,FALSE),""))</f>
        <v/>
      </c>
      <c r="AD493">
        <f>IF(F493="","",IFERROR(VLOOKUP(F493,Action_Templates!$A:$Q,15,FALSE),""))</f>
        <v/>
      </c>
      <c r="AE493">
        <f>IF(O493="","",IF(OR(O493&lt;&gt;"Closed",AND(P493="YES",T493="Accepted")),"OK","BLOCKED"))</f>
        <v/>
      </c>
      <c r="AF493">
        <f>IF(OR(AC493="",R493=""),"",IF(ISNUMBER(SEARCH(AC493,R493)),"OK","CHECK"))</f>
        <v/>
      </c>
    </row>
    <row r="494">
      <c r="W494">
        <f>IF(AND(O494="Closed",AE494="OK"),TODAY(),"")</f>
        <v/>
      </c>
      <c r="AB494">
        <f>IF(F494="","",IFERROR(VLOOKUP(F494,Action_Templates!$A:$Q,13,FALSE),""))</f>
        <v/>
      </c>
      <c r="AC494">
        <f>IF(F494="","",IFERROR(VLOOKUP(F494,Action_Templates!$A:$Q,14,FALSE),""))</f>
        <v/>
      </c>
      <c r="AD494">
        <f>IF(F494="","",IFERROR(VLOOKUP(F494,Action_Templates!$A:$Q,15,FALSE),""))</f>
        <v/>
      </c>
      <c r="AE494">
        <f>IF(O494="","",IF(OR(O494&lt;&gt;"Closed",AND(P494="YES",T494="Accepted")),"OK","BLOCKED"))</f>
        <v/>
      </c>
      <c r="AF494">
        <f>IF(OR(AC494="",R494=""),"",IF(ISNUMBER(SEARCH(AC494,R494)),"OK","CHECK"))</f>
        <v/>
      </c>
    </row>
    <row r="495">
      <c r="W495">
        <f>IF(AND(O495="Closed",AE495="OK"),TODAY(),"")</f>
        <v/>
      </c>
      <c r="AB495">
        <f>IF(F495="","",IFERROR(VLOOKUP(F495,Action_Templates!$A:$Q,13,FALSE),""))</f>
        <v/>
      </c>
      <c r="AC495">
        <f>IF(F495="","",IFERROR(VLOOKUP(F495,Action_Templates!$A:$Q,14,FALSE),""))</f>
        <v/>
      </c>
      <c r="AD495">
        <f>IF(F495="","",IFERROR(VLOOKUP(F495,Action_Templates!$A:$Q,15,FALSE),""))</f>
        <v/>
      </c>
      <c r="AE495">
        <f>IF(O495="","",IF(OR(O495&lt;&gt;"Closed",AND(P495="YES",T495="Accepted")),"OK","BLOCKED"))</f>
        <v/>
      </c>
      <c r="AF495">
        <f>IF(OR(AC495="",R495=""),"",IF(ISNUMBER(SEARCH(AC495,R495)),"OK","CHECK"))</f>
        <v/>
      </c>
    </row>
    <row r="496">
      <c r="W496">
        <f>IF(AND(O496="Closed",AE496="OK"),TODAY(),"")</f>
        <v/>
      </c>
      <c r="AB496">
        <f>IF(F496="","",IFERROR(VLOOKUP(F496,Action_Templates!$A:$Q,13,FALSE),""))</f>
        <v/>
      </c>
      <c r="AC496">
        <f>IF(F496="","",IFERROR(VLOOKUP(F496,Action_Templates!$A:$Q,14,FALSE),""))</f>
        <v/>
      </c>
      <c r="AD496">
        <f>IF(F496="","",IFERROR(VLOOKUP(F496,Action_Templates!$A:$Q,15,FALSE),""))</f>
        <v/>
      </c>
      <c r="AE496">
        <f>IF(O496="","",IF(OR(O496&lt;&gt;"Closed",AND(P496="YES",T496="Accepted")),"OK","BLOCKED"))</f>
        <v/>
      </c>
      <c r="AF496">
        <f>IF(OR(AC496="",R496=""),"",IF(ISNUMBER(SEARCH(AC496,R496)),"OK","CHECK"))</f>
        <v/>
      </c>
    </row>
    <row r="497">
      <c r="W497">
        <f>IF(AND(O497="Closed",AE497="OK"),TODAY(),"")</f>
        <v/>
      </c>
      <c r="AB497">
        <f>IF(F497="","",IFERROR(VLOOKUP(F497,Action_Templates!$A:$Q,13,FALSE),""))</f>
        <v/>
      </c>
      <c r="AC497">
        <f>IF(F497="","",IFERROR(VLOOKUP(F497,Action_Templates!$A:$Q,14,FALSE),""))</f>
        <v/>
      </c>
      <c r="AD497">
        <f>IF(F497="","",IFERROR(VLOOKUP(F497,Action_Templates!$A:$Q,15,FALSE),""))</f>
        <v/>
      </c>
      <c r="AE497">
        <f>IF(O497="","",IF(OR(O497&lt;&gt;"Closed",AND(P497="YES",T497="Accepted")),"OK","BLOCKED"))</f>
        <v/>
      </c>
      <c r="AF497">
        <f>IF(OR(AC497="",R497=""),"",IF(ISNUMBER(SEARCH(AC497,R497)),"OK","CHECK"))</f>
        <v/>
      </c>
    </row>
    <row r="498">
      <c r="W498">
        <f>IF(AND(O498="Closed",AE498="OK"),TODAY(),"")</f>
        <v/>
      </c>
      <c r="AB498">
        <f>IF(F498="","",IFERROR(VLOOKUP(F498,Action_Templates!$A:$Q,13,FALSE),""))</f>
        <v/>
      </c>
      <c r="AC498">
        <f>IF(F498="","",IFERROR(VLOOKUP(F498,Action_Templates!$A:$Q,14,FALSE),""))</f>
        <v/>
      </c>
      <c r="AD498">
        <f>IF(F498="","",IFERROR(VLOOKUP(F498,Action_Templates!$A:$Q,15,FALSE),""))</f>
        <v/>
      </c>
      <c r="AE498">
        <f>IF(O498="","",IF(OR(O498&lt;&gt;"Closed",AND(P498="YES",T498="Accepted")),"OK","BLOCKED"))</f>
        <v/>
      </c>
      <c r="AF498">
        <f>IF(OR(AC498="",R498=""),"",IF(ISNUMBER(SEARCH(AC498,R498)),"OK","CHECK"))</f>
        <v/>
      </c>
    </row>
    <row r="499">
      <c r="W499">
        <f>IF(AND(O499="Closed",AE499="OK"),TODAY(),"")</f>
        <v/>
      </c>
      <c r="AB499">
        <f>IF(F499="","",IFERROR(VLOOKUP(F499,Action_Templates!$A:$Q,13,FALSE),""))</f>
        <v/>
      </c>
      <c r="AC499">
        <f>IF(F499="","",IFERROR(VLOOKUP(F499,Action_Templates!$A:$Q,14,FALSE),""))</f>
        <v/>
      </c>
      <c r="AD499">
        <f>IF(F499="","",IFERROR(VLOOKUP(F499,Action_Templates!$A:$Q,15,FALSE),""))</f>
        <v/>
      </c>
      <c r="AE499">
        <f>IF(O499="","",IF(OR(O499&lt;&gt;"Closed",AND(P499="YES",T499="Accepted")),"OK","BLOCKED"))</f>
        <v/>
      </c>
      <c r="AF499">
        <f>IF(OR(AC499="",R499=""),"",IF(ISNUMBER(SEARCH(AC499,R499)),"OK","CHECK"))</f>
        <v/>
      </c>
    </row>
    <row r="500">
      <c r="W500">
        <f>IF(AND(O500="Closed",AE500="OK"),TODAY(),"")</f>
        <v/>
      </c>
      <c r="AB500">
        <f>IF(F500="","",IFERROR(VLOOKUP(F500,Action_Templates!$A:$Q,13,FALSE),""))</f>
        <v/>
      </c>
      <c r="AC500">
        <f>IF(F500="","",IFERROR(VLOOKUP(F500,Action_Templates!$A:$Q,14,FALSE),""))</f>
        <v/>
      </c>
      <c r="AD500">
        <f>IF(F500="","",IFERROR(VLOOKUP(F500,Action_Templates!$A:$Q,15,FALSE),""))</f>
        <v/>
      </c>
      <c r="AE500">
        <f>IF(O500="","",IF(OR(O500&lt;&gt;"Closed",AND(P500="YES",T500="Accepted")),"OK","BLOCKED"))</f>
        <v/>
      </c>
      <c r="AF500">
        <f>IF(OR(AC500="",R500=""),"",IF(ISNUMBER(SEARCH(AC500,R500)),"OK","CHECK"))</f>
        <v/>
      </c>
    </row>
  </sheetData>
  <autoFilter ref="A1:AA1"/>
  <conditionalFormatting sqref="AE2:AE500">
    <cfRule type="cellIs" priority="1" operator="equal" dxfId="0">
      <formula>"BLOCKED"</formula>
    </cfRule>
    <cfRule type="cellIs" priority="2" operator="equal" dxfId="1">
      <formula>"OK"</formula>
    </cfRule>
  </conditionalFormatting>
  <conditionalFormatting sqref="AF2:AF500">
    <cfRule type="cellIs" priority="3" operator="equal" dxfId="2">
      <formula>"CHECK"</formula>
    </cfRule>
  </conditionalFormatting>
  <conditionalFormatting sqref="O2:O500">
    <cfRule type="expression" priority="4" dxfId="2">
      <formula>AND(I2="YES",O2="")</formula>
    </cfRule>
  </conditionalFormatting>
  <dataValidations count="3">
    <dataValidation sqref="O2:O500" showDropDown="0" showInputMessage="0" showErrorMessage="0" allowBlank="1" type="list">
      <formula1>"Open,In Progress,Evidence Submitted,Verified,Closed"</formula1>
    </dataValidation>
    <dataValidation sqref="P2:P500" showDropDown="0" showInputMessage="0" showErrorMessage="0" allowBlank="1" type="list">
      <formula1>"YES,NO"</formula1>
    </dataValidation>
    <dataValidation sqref="T2:T500" showDropDown="0" showInputMessage="0" showErrorMessage="0" allowBlank="1" type="list">
      <formula1>"Accepted,Rejected,Needs Revision"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 width="20" customWidth="1" min="3" max="3"/>
    <col width="20" customWidth="1" min="4" max="4"/>
    <col width="20" customWidth="1" min="5" max="5"/>
    <col width="34" customWidth="1" min="6" max="6"/>
    <col width="20" customWidth="1" min="7" max="7"/>
    <col width="20" customWidth="1" min="8" max="8"/>
    <col width="20" customWidth="1" min="9" max="9"/>
    <col width="20" customWidth="1" min="10" max="10"/>
    <col width="20" customWidth="1" min="11" max="11"/>
  </cols>
  <sheetData>
    <row r="1">
      <c r="A1" s="24" t="inlineStr">
        <is>
          <t>Template_ID</t>
        </is>
      </c>
      <c r="B1" s="24" t="inlineStr">
        <is>
          <t>Template_Name</t>
        </is>
      </c>
      <c r="C1" s="24" t="inlineStr">
        <is>
          <t>Pillar</t>
        </is>
      </c>
      <c r="D1" s="24" t="inlineStr">
        <is>
          <t>Subscore</t>
        </is>
      </c>
      <c r="E1" s="24" t="inlineStr">
        <is>
          <t>Trigger_Type</t>
        </is>
      </c>
      <c r="F1" s="24" t="inlineStr">
        <is>
          <t>Trigger_Condition</t>
        </is>
      </c>
      <c r="G1" s="24" t="inlineStr">
        <is>
          <t>Driver</t>
        </is>
      </c>
      <c r="H1" s="24" t="inlineStr">
        <is>
          <t>Driver_Cell</t>
        </is>
      </c>
      <c r="I1" s="24" t="inlineStr">
        <is>
          <t>Operator</t>
        </is>
      </c>
      <c r="J1" s="24" t="inlineStr">
        <is>
          <t>Threshold</t>
        </is>
      </c>
      <c r="K1" s="24" t="inlineStr">
        <is>
          <t>Trigger_Met</t>
        </is>
      </c>
    </row>
    <row r="2">
      <c r="A2" t="inlineStr">
        <is>
          <t>SAF-SUB-INS-001</t>
        </is>
      </c>
      <c r="B2" t="inlineStr">
        <is>
          <t>Continuous Subcontractor Insurance Monitoring</t>
        </is>
      </c>
      <c r="C2" t="inlineStr">
        <is>
          <t>Safety</t>
        </is>
      </c>
      <c r="D2" t="inlineStr">
        <is>
          <t>Subcontractor – Insurance Continuity</t>
        </is>
      </c>
      <c r="E2" t="inlineStr">
        <is>
          <t>Guardrail</t>
        </is>
      </c>
      <c r="F2" t="inlineStr">
        <is>
          <t>Insurance Continuity &lt;= 2</t>
        </is>
      </c>
      <c r="G2" t="inlineStr">
        <is>
          <t>Insurance Continuity</t>
        </is>
      </c>
      <c r="H2" t="inlineStr">
        <is>
          <t>'Subcontractor_SubScore'!C3</t>
        </is>
      </c>
      <c r="I2" t="inlineStr">
        <is>
          <t>&lt;=</t>
        </is>
      </c>
      <c r="J2" t="inlineStr">
        <is>
          <t>2</t>
        </is>
      </c>
      <c r="K2">
        <f>IF(OR(H2="",J2=""),"",IF(INDIRECT(H2)&lt;=VALUE(J2),"YES","NO"))</f>
        <v/>
      </c>
    </row>
    <row r="3">
      <c r="A3" t="inlineStr">
        <is>
          <t>SAF-SUB-TRN-001</t>
        </is>
      </c>
      <c r="B3" t="inlineStr">
        <is>
          <t>Subcontractor Safety Program Submission &amp; Alignment</t>
        </is>
      </c>
      <c r="C3" t="inlineStr">
        <is>
          <t>Safety</t>
        </is>
      </c>
      <c r="D3" t="inlineStr">
        <is>
          <t>Subcontractor – Training &amp; Oversight</t>
        </is>
      </c>
      <c r="E3" t="inlineStr">
        <is>
          <t>Score Threshold</t>
        </is>
      </c>
      <c r="F3" t="inlineStr">
        <is>
          <t>Training &amp; Oversight &lt;= 3</t>
        </is>
      </c>
      <c r="G3" t="inlineStr">
        <is>
          <t>Training &amp; Oversight</t>
        </is>
      </c>
      <c r="H3" t="inlineStr">
        <is>
          <t>'Subcontractor_SubScore'!C2</t>
        </is>
      </c>
      <c r="I3" t="inlineStr">
        <is>
          <t>&lt;=</t>
        </is>
      </c>
      <c r="J3" t="inlineStr">
        <is>
          <t>3</t>
        </is>
      </c>
      <c r="K3">
        <f>IF(OR(H3="",J3=""),"",IF(INDIRECT(H3)&lt;=VALUE(J3),"YES","NO"))</f>
        <v/>
      </c>
    </row>
    <row r="4">
      <c r="A4" t="inlineStr">
        <is>
          <t>SAF-SUB-TRN-002</t>
        </is>
      </c>
      <c r="B4" t="inlineStr">
        <is>
          <t>Site-Specific Safety Orientation</t>
        </is>
      </c>
      <c r="C4" t="inlineStr">
        <is>
          <t>Safety</t>
        </is>
      </c>
      <c r="D4" t="inlineStr">
        <is>
          <t>Subcontractor – Training &amp; Oversight</t>
        </is>
      </c>
      <c r="E4" t="inlineStr">
        <is>
          <t>Score Threshold</t>
        </is>
      </c>
      <c r="F4" t="inlineStr">
        <is>
          <t>Training &amp; Oversight &lt;= 3</t>
        </is>
      </c>
      <c r="G4" t="inlineStr">
        <is>
          <t>Training &amp; Oversight</t>
        </is>
      </c>
      <c r="H4" t="inlineStr">
        <is>
          <t>'Subcontractor_SubScore'!C2</t>
        </is>
      </c>
      <c r="I4" t="inlineStr">
        <is>
          <t>&lt;=</t>
        </is>
      </c>
      <c r="J4" t="inlineStr">
        <is>
          <t>3</t>
        </is>
      </c>
      <c r="K4">
        <f>IF(OR(H4="",J4=""),"",IF(INDIRECT(H4)&lt;=VALUE(J4),"YES","NO"))</f>
        <v/>
      </c>
    </row>
    <row r="5">
      <c r="A5" t="inlineStr">
        <is>
          <t>SAF-SUB-CRT-001</t>
        </is>
      </c>
      <c r="B5" t="inlineStr">
        <is>
          <t>Contractual Insurance Requirement Standardization</t>
        </is>
      </c>
      <c r="C5" t="inlineStr">
        <is>
          <t>Safety</t>
        </is>
      </c>
      <c r="D5" t="inlineStr">
        <is>
          <t>Subcontractor – Coverage &amp; Contract Integrity</t>
        </is>
      </c>
      <c r="E5" t="inlineStr">
        <is>
          <t>Score Threshold</t>
        </is>
      </c>
      <c r="F5" t="inlineStr">
        <is>
          <t>Coverage Integrity &lt;= 3</t>
        </is>
      </c>
      <c r="G5" t="inlineStr">
        <is>
          <t>Coverage Integrity</t>
        </is>
      </c>
      <c r="H5" t="inlineStr">
        <is>
          <t>'Subcontractor_SubScore'!C4</t>
        </is>
      </c>
      <c r="I5" t="inlineStr">
        <is>
          <t>&lt;=</t>
        </is>
      </c>
      <c r="J5" t="inlineStr">
        <is>
          <t>3</t>
        </is>
      </c>
      <c r="K5">
        <f>IF(OR(H5="",J5=""),"",IF(INDIRECT(H5)&lt;=VALUE(J5),"YES","NO"))</f>
        <v/>
      </c>
    </row>
    <row r="6">
      <c r="A6" t="inlineStr">
        <is>
          <t>SAF-SUB-CRT-002</t>
        </is>
      </c>
      <c r="B6" t="inlineStr">
        <is>
          <t>Coverage &amp; Endorsement Verification</t>
        </is>
      </c>
      <c r="C6" t="inlineStr">
        <is>
          <t>Safety</t>
        </is>
      </c>
      <c r="D6" t="inlineStr">
        <is>
          <t>Subcontractor – Coverage &amp; Contract Integrity</t>
        </is>
      </c>
      <c r="E6" t="inlineStr">
        <is>
          <t>Score Threshold</t>
        </is>
      </c>
      <c r="F6" t="inlineStr">
        <is>
          <t>Coverage Integrity &lt;= 3</t>
        </is>
      </c>
      <c r="G6" t="inlineStr">
        <is>
          <t>Coverage Integrity</t>
        </is>
      </c>
      <c r="H6" t="inlineStr">
        <is>
          <t>'Subcontractor_SubScore'!C4</t>
        </is>
      </c>
      <c r="I6" t="inlineStr">
        <is>
          <t>&lt;=</t>
        </is>
      </c>
      <c r="J6" t="inlineStr">
        <is>
          <t>3</t>
        </is>
      </c>
      <c r="K6">
        <f>IF(OR(H6="",J6=""),"",IF(INDIRECT(H6)&lt;=VALUE(J6),"YES","NO"))</f>
        <v/>
      </c>
    </row>
  </sheetData>
  <autoFilter ref="A1:K1"/>
  <dataValidations count="1">
    <dataValidation sqref="G2:G500" showDropDown="0" showInputMessage="0" showErrorMessage="0" allowBlank="1" type="list">
      <formula1>"Training &amp; Oversight,Insurance Continuity,Coverage Integrity"</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5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14" customWidth="1" min="4" max="4"/>
    <col width="18" customWidth="1" min="5" max="5"/>
    <col width="16"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4" customWidth="1" min="16" max="16"/>
    <col width="24" customWidth="1" min="17" max="17"/>
    <col width="24" customWidth="1" min="18" max="18"/>
  </cols>
  <sheetData>
    <row r="1">
      <c r="A1" s="24" t="inlineStr">
        <is>
          <t>Outcome_ID</t>
        </is>
      </c>
      <c r="B1" s="24" t="inlineStr">
        <is>
          <t>Assessment_ID</t>
        </is>
      </c>
      <c r="C1" s="24" t="inlineStr">
        <is>
          <t>Company_Name</t>
        </is>
      </c>
      <c r="D1" s="24" t="inlineStr">
        <is>
          <t>Checkpoint</t>
        </is>
      </c>
      <c r="E1" s="24" t="inlineStr">
        <is>
          <t>As_Of_Date</t>
        </is>
      </c>
      <c r="F1" s="24" t="inlineStr">
        <is>
          <t>Line_of_Coverage</t>
        </is>
      </c>
      <c r="G1" s="24" t="inlineStr">
        <is>
          <t>Carrier</t>
        </is>
      </c>
      <c r="H1" s="24" t="inlineStr">
        <is>
          <t>Earned_Premium</t>
        </is>
      </c>
      <c r="I1" s="24" t="inlineStr">
        <is>
          <t>Incurred_Losses</t>
        </is>
      </c>
      <c r="J1" s="24" t="inlineStr">
        <is>
          <t>Claim_Count</t>
        </is>
      </c>
      <c r="K1" s="24" t="inlineStr">
        <is>
          <t>Loss_Ratio</t>
        </is>
      </c>
      <c r="L1" s="24" t="inlineStr">
        <is>
          <t>Prior_Loss_Ratio</t>
        </is>
      </c>
      <c r="M1" s="24" t="inlineStr">
        <is>
          <t>Trend_Indicator</t>
        </is>
      </c>
      <c r="N1" s="24" t="inlineStr">
        <is>
          <t>Closed_Actions_To_Date</t>
        </is>
      </c>
      <c r="O1" s="24" t="inlineStr">
        <is>
          <t>Guardrail_Active</t>
        </is>
      </c>
      <c r="P1" s="24" t="inlineStr">
        <is>
          <t>Prior_As_Of_Date</t>
        </is>
      </c>
      <c r="Q1" s="24" t="inlineStr">
        <is>
          <t>Closed_Actions_Since_Prior</t>
        </is>
      </c>
      <c r="R1" s="24" t="inlineStr">
        <is>
          <t>Closed_Critical_Since_Prior</t>
        </is>
      </c>
    </row>
    <row r="2">
      <c r="A2" t="inlineStr">
        <is>
          <t>OUT-00001</t>
        </is>
      </c>
      <c r="B2">
        <f>'Company_Profile'!B5</f>
        <v/>
      </c>
      <c r="C2">
        <f>'Company_Profile'!B2</f>
        <v/>
      </c>
      <c r="K2">
        <f>IFERROR(I2/H2,"")</f>
        <v/>
      </c>
      <c r="M2">
        <f>IF(OR(K2="",L2=""),"",IF(K2&lt;L2,"Improving",IF(K2=L2,"Stable","Adverse")))</f>
        <v/>
      </c>
      <c r="N2">
        <f>COUNTIF(Action_Register!O:O,"Closed")</f>
        <v/>
      </c>
      <c r="O2">
        <f>Summary!B21</f>
        <v/>
      </c>
      <c r="Q2">
        <f>IF(E2="","",IF(P2="",COUNTIFS(Action_Register!O:O,"Closed",Action_Register!W:W,"&lt;="&amp;E2),COUNTIFS(Action_Register!O:O,"Closed",Action_Register!W:W,"&gt;"&amp;P2,Action_Register!W:W,"&lt;="&amp;E2)))</f>
        <v/>
      </c>
      <c r="R2">
        <f>IF(E2="","",IF(P2="",COUNTIFS(Action_Register!O:O,"Closed",Action_Register!J:J,"Critical",Action_Register!W:W,"&lt;="&amp;E2),COUNTIFS(Action_Register!O:O,"Closed",Action_Register!J:J,"Critical",Action_Register!W:W,"&gt;"&amp;P2,Action_Register!W:W,"&lt;="&amp;E2)))</f>
        <v/>
      </c>
    </row>
    <row r="3">
      <c r="A3" t="inlineStr">
        <is>
          <t>OUT-00002</t>
        </is>
      </c>
      <c r="B3">
        <f>'Company_Profile'!B5</f>
        <v/>
      </c>
      <c r="C3">
        <f>'Company_Profile'!B2</f>
        <v/>
      </c>
      <c r="K3">
        <f>IFERROR(I3/H3,"")</f>
        <v/>
      </c>
      <c r="L3">
        <f>IFERROR(OFFSET(K3,-1,0),"")</f>
        <v/>
      </c>
      <c r="M3">
        <f>IF(OR(K3="",L3=""),"",IF(K3&lt;L3,"Improving",IF(K3=L3,"Stable","Adverse")))</f>
        <v/>
      </c>
      <c r="N3">
        <f>COUNTIF(Action_Register!O:O,"Closed")</f>
        <v/>
      </c>
      <c r="O3">
        <f>Summary!B21</f>
        <v/>
      </c>
      <c r="P3">
        <f>IF(E3="","",IFERROR(OFFSET(E3,-1,0),""))</f>
        <v/>
      </c>
      <c r="Q3">
        <f>IF(E3="","",IF(P3="",COUNTIFS(Action_Register!O:O,"Closed",Action_Register!W:W,"&lt;="&amp;E3),COUNTIFS(Action_Register!O:O,"Closed",Action_Register!W:W,"&gt;"&amp;P3,Action_Register!W:W,"&lt;="&amp;E3)))</f>
        <v/>
      </c>
      <c r="R3">
        <f>IF(E3="","",IF(P3="",COUNTIFS(Action_Register!O:O,"Closed",Action_Register!J:J,"Critical",Action_Register!W:W,"&lt;="&amp;E3),COUNTIFS(Action_Register!O:O,"Closed",Action_Register!J:J,"Critical",Action_Register!W:W,"&gt;"&amp;P3,Action_Register!W:W,"&lt;="&amp;E3)))</f>
        <v/>
      </c>
    </row>
    <row r="4">
      <c r="A4" t="inlineStr">
        <is>
          <t>OUT-00003</t>
        </is>
      </c>
      <c r="B4">
        <f>'Company_Profile'!B5</f>
        <v/>
      </c>
      <c r="C4">
        <f>'Company_Profile'!B2</f>
        <v/>
      </c>
      <c r="K4">
        <f>IFERROR(I4/H4,"")</f>
        <v/>
      </c>
      <c r="L4">
        <f>IFERROR(OFFSET(K4,-1,0),"")</f>
        <v/>
      </c>
      <c r="M4">
        <f>IF(OR(K4="",L4=""),"",IF(K4&lt;L4,"Improving",IF(K4=L4,"Stable","Adverse")))</f>
        <v/>
      </c>
      <c r="N4">
        <f>COUNTIF(Action_Register!O:O,"Closed")</f>
        <v/>
      </c>
      <c r="O4">
        <f>Summary!B21</f>
        <v/>
      </c>
      <c r="P4">
        <f>IF(E4="","",IFERROR(OFFSET(E4,-1,0),""))</f>
        <v/>
      </c>
      <c r="Q4">
        <f>IF(E4="","",IF(P4="",COUNTIFS(Action_Register!O:O,"Closed",Action_Register!W:W,"&lt;="&amp;E4),COUNTIFS(Action_Register!O:O,"Closed",Action_Register!W:W,"&gt;"&amp;P4,Action_Register!W:W,"&lt;="&amp;E4)))</f>
        <v/>
      </c>
      <c r="R4">
        <f>IF(E4="","",IF(P4="",COUNTIFS(Action_Register!O:O,"Closed",Action_Register!J:J,"Critical",Action_Register!W:W,"&lt;="&amp;E4),COUNTIFS(Action_Register!O:O,"Closed",Action_Register!J:J,"Critical",Action_Register!W:W,"&gt;"&amp;P4,Action_Register!W:W,"&lt;="&amp;E4)))</f>
        <v/>
      </c>
    </row>
    <row r="5">
      <c r="A5" t="inlineStr">
        <is>
          <t>OUT-00004</t>
        </is>
      </c>
      <c r="B5">
        <f>'Company_Profile'!B5</f>
        <v/>
      </c>
      <c r="C5">
        <f>'Company_Profile'!B2</f>
        <v/>
      </c>
      <c r="K5">
        <f>IFERROR(I5/H5,"")</f>
        <v/>
      </c>
      <c r="L5">
        <f>IFERROR(OFFSET(K5,-1,0),"")</f>
        <v/>
      </c>
      <c r="M5">
        <f>IF(OR(K5="",L5=""),"",IF(K5&lt;L5,"Improving",IF(K5=L5,"Stable","Adverse")))</f>
        <v/>
      </c>
      <c r="N5">
        <f>COUNTIF(Action_Register!O:O,"Closed")</f>
        <v/>
      </c>
      <c r="O5">
        <f>Summary!B21</f>
        <v/>
      </c>
      <c r="P5">
        <f>IF(E5="","",IFERROR(OFFSET(E5,-1,0),""))</f>
        <v/>
      </c>
      <c r="Q5">
        <f>IF(E5="","",IF(P5="",COUNTIFS(Action_Register!O:O,"Closed",Action_Register!W:W,"&lt;="&amp;E5),COUNTIFS(Action_Register!O:O,"Closed",Action_Register!W:W,"&gt;"&amp;P5,Action_Register!W:W,"&lt;="&amp;E5)))</f>
        <v/>
      </c>
      <c r="R5">
        <f>IF(E5="","",IF(P5="",COUNTIFS(Action_Register!O:O,"Closed",Action_Register!J:J,"Critical",Action_Register!W:W,"&lt;="&amp;E5),COUNTIFS(Action_Register!O:O,"Closed",Action_Register!J:J,"Critical",Action_Register!W:W,"&gt;"&amp;P5,Action_Register!W:W,"&lt;="&amp;E5)))</f>
        <v/>
      </c>
    </row>
    <row r="6">
      <c r="A6" t="inlineStr">
        <is>
          <t>OUT-00005</t>
        </is>
      </c>
      <c r="B6">
        <f>'Company_Profile'!B5</f>
        <v/>
      </c>
      <c r="C6">
        <f>'Company_Profile'!B2</f>
        <v/>
      </c>
      <c r="K6">
        <f>IFERROR(I6/H6,"")</f>
        <v/>
      </c>
      <c r="L6">
        <f>IFERROR(OFFSET(K6,-1,0),"")</f>
        <v/>
      </c>
      <c r="M6">
        <f>IF(OR(K6="",L6=""),"",IF(K6&lt;L6,"Improving",IF(K6=L6,"Stable","Adverse")))</f>
        <v/>
      </c>
      <c r="N6">
        <f>COUNTIF(Action_Register!O:O,"Closed")</f>
        <v/>
      </c>
      <c r="O6">
        <f>Summary!B21</f>
        <v/>
      </c>
      <c r="P6">
        <f>IF(E6="","",IFERROR(OFFSET(E6,-1,0),""))</f>
        <v/>
      </c>
      <c r="Q6">
        <f>IF(E6="","",IF(P6="",COUNTIFS(Action_Register!O:O,"Closed",Action_Register!W:W,"&lt;="&amp;E6),COUNTIFS(Action_Register!O:O,"Closed",Action_Register!W:W,"&gt;"&amp;P6,Action_Register!W:W,"&lt;="&amp;E6)))</f>
        <v/>
      </c>
      <c r="R6">
        <f>IF(E6="","",IF(P6="",COUNTIFS(Action_Register!O:O,"Closed",Action_Register!J:J,"Critical",Action_Register!W:W,"&lt;="&amp;E6),COUNTIFS(Action_Register!O:O,"Closed",Action_Register!J:J,"Critical",Action_Register!W:W,"&gt;"&amp;P6,Action_Register!W:W,"&lt;="&amp;E6)))</f>
        <v/>
      </c>
    </row>
    <row r="7">
      <c r="A7" t="inlineStr">
        <is>
          <t>OUT-00006</t>
        </is>
      </c>
      <c r="B7">
        <f>'Company_Profile'!B5</f>
        <v/>
      </c>
      <c r="C7">
        <f>'Company_Profile'!B2</f>
        <v/>
      </c>
      <c r="K7">
        <f>IFERROR(I7/H7,"")</f>
        <v/>
      </c>
      <c r="L7">
        <f>IFERROR(OFFSET(K7,-1,0),"")</f>
        <v/>
      </c>
      <c r="M7">
        <f>IF(OR(K7="",L7=""),"",IF(K7&lt;L7,"Improving",IF(K7=L7,"Stable","Adverse")))</f>
        <v/>
      </c>
      <c r="N7">
        <f>COUNTIF(Action_Register!O:O,"Closed")</f>
        <v/>
      </c>
      <c r="O7">
        <f>Summary!B21</f>
        <v/>
      </c>
      <c r="P7">
        <f>IF(E7="","",IFERROR(OFFSET(E7,-1,0),""))</f>
        <v/>
      </c>
      <c r="Q7">
        <f>IF(E7="","",IF(P7="",COUNTIFS(Action_Register!O:O,"Closed",Action_Register!W:W,"&lt;="&amp;E7),COUNTIFS(Action_Register!O:O,"Closed",Action_Register!W:W,"&gt;"&amp;P7,Action_Register!W:W,"&lt;="&amp;E7)))</f>
        <v/>
      </c>
      <c r="R7">
        <f>IF(E7="","",IF(P7="",COUNTIFS(Action_Register!O:O,"Closed",Action_Register!J:J,"Critical",Action_Register!W:W,"&lt;="&amp;E7),COUNTIFS(Action_Register!O:O,"Closed",Action_Register!J:J,"Critical",Action_Register!W:W,"&gt;"&amp;P7,Action_Register!W:W,"&lt;="&amp;E7)))</f>
        <v/>
      </c>
    </row>
    <row r="8">
      <c r="A8" t="inlineStr">
        <is>
          <t>OUT-00007</t>
        </is>
      </c>
      <c r="B8">
        <f>'Company_Profile'!B5</f>
        <v/>
      </c>
      <c r="C8">
        <f>'Company_Profile'!B2</f>
        <v/>
      </c>
      <c r="K8">
        <f>IFERROR(I8/H8,"")</f>
        <v/>
      </c>
      <c r="L8">
        <f>IFERROR(OFFSET(K8,-1,0),"")</f>
        <v/>
      </c>
      <c r="M8">
        <f>IF(OR(K8="",L8=""),"",IF(K8&lt;L8,"Improving",IF(K8=L8,"Stable","Adverse")))</f>
        <v/>
      </c>
      <c r="N8">
        <f>COUNTIF(Action_Register!O:O,"Closed")</f>
        <v/>
      </c>
      <c r="O8">
        <f>Summary!B21</f>
        <v/>
      </c>
      <c r="P8">
        <f>IF(E8="","",IFERROR(OFFSET(E8,-1,0),""))</f>
        <v/>
      </c>
      <c r="Q8">
        <f>IF(E8="","",IF(P8="",COUNTIFS(Action_Register!O:O,"Closed",Action_Register!W:W,"&lt;="&amp;E8),COUNTIFS(Action_Register!O:O,"Closed",Action_Register!W:W,"&gt;"&amp;P8,Action_Register!W:W,"&lt;="&amp;E8)))</f>
        <v/>
      </c>
      <c r="R8">
        <f>IF(E8="","",IF(P8="",COUNTIFS(Action_Register!O:O,"Closed",Action_Register!J:J,"Critical",Action_Register!W:W,"&lt;="&amp;E8),COUNTIFS(Action_Register!O:O,"Closed",Action_Register!J:J,"Critical",Action_Register!W:W,"&gt;"&amp;P8,Action_Register!W:W,"&lt;="&amp;E8)))</f>
        <v/>
      </c>
    </row>
    <row r="9">
      <c r="A9" t="inlineStr">
        <is>
          <t>OUT-00008</t>
        </is>
      </c>
      <c r="B9">
        <f>'Company_Profile'!B5</f>
        <v/>
      </c>
      <c r="C9">
        <f>'Company_Profile'!B2</f>
        <v/>
      </c>
      <c r="K9">
        <f>IFERROR(I9/H9,"")</f>
        <v/>
      </c>
      <c r="L9">
        <f>IFERROR(OFFSET(K9,-1,0),"")</f>
        <v/>
      </c>
      <c r="M9">
        <f>IF(OR(K9="",L9=""),"",IF(K9&lt;L9,"Improving",IF(K9=L9,"Stable","Adverse")))</f>
        <v/>
      </c>
      <c r="N9">
        <f>COUNTIF(Action_Register!O:O,"Closed")</f>
        <v/>
      </c>
      <c r="O9">
        <f>Summary!B21</f>
        <v/>
      </c>
      <c r="P9">
        <f>IF(E9="","",IFERROR(OFFSET(E9,-1,0),""))</f>
        <v/>
      </c>
      <c r="Q9">
        <f>IF(E9="","",IF(P9="",COUNTIFS(Action_Register!O:O,"Closed",Action_Register!W:W,"&lt;="&amp;E9),COUNTIFS(Action_Register!O:O,"Closed",Action_Register!W:W,"&gt;"&amp;P9,Action_Register!W:W,"&lt;="&amp;E9)))</f>
        <v/>
      </c>
      <c r="R9">
        <f>IF(E9="","",IF(P9="",COUNTIFS(Action_Register!O:O,"Closed",Action_Register!J:J,"Critical",Action_Register!W:W,"&lt;="&amp;E9),COUNTIFS(Action_Register!O:O,"Closed",Action_Register!J:J,"Critical",Action_Register!W:W,"&gt;"&amp;P9,Action_Register!W:W,"&lt;="&amp;E9)))</f>
        <v/>
      </c>
    </row>
    <row r="10">
      <c r="A10" t="inlineStr">
        <is>
          <t>OUT-00009</t>
        </is>
      </c>
      <c r="B10">
        <f>'Company_Profile'!B5</f>
        <v/>
      </c>
      <c r="C10">
        <f>'Company_Profile'!B2</f>
        <v/>
      </c>
      <c r="K10">
        <f>IFERROR(I10/H10,"")</f>
        <v/>
      </c>
      <c r="L10">
        <f>IFERROR(OFFSET(K10,-1,0),"")</f>
        <v/>
      </c>
      <c r="M10">
        <f>IF(OR(K10="",L10=""),"",IF(K10&lt;L10,"Improving",IF(K10=L10,"Stable","Adverse")))</f>
        <v/>
      </c>
      <c r="N10">
        <f>COUNTIF(Action_Register!O:O,"Closed")</f>
        <v/>
      </c>
      <c r="O10">
        <f>Summary!B21</f>
        <v/>
      </c>
      <c r="P10">
        <f>IF(E10="","",IFERROR(OFFSET(E10,-1,0),""))</f>
        <v/>
      </c>
      <c r="Q10">
        <f>IF(E10="","",IF(P10="",COUNTIFS(Action_Register!O:O,"Closed",Action_Register!W:W,"&lt;="&amp;E10),COUNTIFS(Action_Register!O:O,"Closed",Action_Register!W:W,"&gt;"&amp;P10,Action_Register!W:W,"&lt;="&amp;E10)))</f>
        <v/>
      </c>
      <c r="R10">
        <f>IF(E10="","",IF(P10="",COUNTIFS(Action_Register!O:O,"Closed",Action_Register!J:J,"Critical",Action_Register!W:W,"&lt;="&amp;E10),COUNTIFS(Action_Register!O:O,"Closed",Action_Register!J:J,"Critical",Action_Register!W:W,"&gt;"&amp;P10,Action_Register!W:W,"&lt;="&amp;E10)))</f>
        <v/>
      </c>
    </row>
    <row r="11">
      <c r="A11" t="inlineStr">
        <is>
          <t>OUT-00010</t>
        </is>
      </c>
      <c r="B11">
        <f>'Company_Profile'!B5</f>
        <v/>
      </c>
      <c r="C11">
        <f>'Company_Profile'!B2</f>
        <v/>
      </c>
      <c r="K11">
        <f>IFERROR(I11/H11,"")</f>
        <v/>
      </c>
      <c r="L11">
        <f>IFERROR(OFFSET(K11,-1,0),"")</f>
        <v/>
      </c>
      <c r="M11">
        <f>IF(OR(K11="",L11=""),"",IF(K11&lt;L11,"Improving",IF(K11=L11,"Stable","Adverse")))</f>
        <v/>
      </c>
      <c r="N11">
        <f>COUNTIF(Action_Register!O:O,"Closed")</f>
        <v/>
      </c>
      <c r="O11">
        <f>Summary!B21</f>
        <v/>
      </c>
      <c r="P11">
        <f>IF(E11="","",IFERROR(OFFSET(E11,-1,0),""))</f>
        <v/>
      </c>
      <c r="Q11">
        <f>IF(E11="","",IF(P11="",COUNTIFS(Action_Register!O:O,"Closed",Action_Register!W:W,"&lt;="&amp;E11),COUNTIFS(Action_Register!O:O,"Closed",Action_Register!W:W,"&gt;"&amp;P11,Action_Register!W:W,"&lt;="&amp;E11)))</f>
        <v/>
      </c>
      <c r="R11">
        <f>IF(E11="","",IF(P11="",COUNTIFS(Action_Register!O:O,"Closed",Action_Register!J:J,"Critical",Action_Register!W:W,"&lt;="&amp;E11),COUNTIFS(Action_Register!O:O,"Closed",Action_Register!J:J,"Critical",Action_Register!W:W,"&gt;"&amp;P11,Action_Register!W:W,"&lt;="&amp;E11)))</f>
        <v/>
      </c>
    </row>
    <row r="12">
      <c r="A12" t="inlineStr">
        <is>
          <t>OUT-00011</t>
        </is>
      </c>
      <c r="B12">
        <f>'Company_Profile'!B5</f>
        <v/>
      </c>
      <c r="C12">
        <f>'Company_Profile'!B2</f>
        <v/>
      </c>
      <c r="K12">
        <f>IFERROR(I12/H12,"")</f>
        <v/>
      </c>
      <c r="L12">
        <f>IFERROR(OFFSET(K12,-1,0),"")</f>
        <v/>
      </c>
      <c r="M12">
        <f>IF(OR(K12="",L12=""),"",IF(K12&lt;L12,"Improving",IF(K12=L12,"Stable","Adverse")))</f>
        <v/>
      </c>
      <c r="N12">
        <f>COUNTIF(Action_Register!O:O,"Closed")</f>
        <v/>
      </c>
      <c r="O12">
        <f>Summary!B21</f>
        <v/>
      </c>
      <c r="P12">
        <f>IF(E12="","",IFERROR(OFFSET(E12,-1,0),""))</f>
        <v/>
      </c>
      <c r="Q12">
        <f>IF(E12="","",IF(P12="",COUNTIFS(Action_Register!O:O,"Closed",Action_Register!W:W,"&lt;="&amp;E12),COUNTIFS(Action_Register!O:O,"Closed",Action_Register!W:W,"&gt;"&amp;P12,Action_Register!W:W,"&lt;="&amp;E12)))</f>
        <v/>
      </c>
      <c r="R12">
        <f>IF(E12="","",IF(P12="",COUNTIFS(Action_Register!O:O,"Closed",Action_Register!J:J,"Critical",Action_Register!W:W,"&lt;="&amp;E12),COUNTIFS(Action_Register!O:O,"Closed",Action_Register!J:J,"Critical",Action_Register!W:W,"&gt;"&amp;P12,Action_Register!W:W,"&lt;="&amp;E12)))</f>
        <v/>
      </c>
    </row>
    <row r="13">
      <c r="A13" t="inlineStr">
        <is>
          <t>OUT-00012</t>
        </is>
      </c>
      <c r="B13">
        <f>'Company_Profile'!B5</f>
        <v/>
      </c>
      <c r="C13">
        <f>'Company_Profile'!B2</f>
        <v/>
      </c>
      <c r="K13">
        <f>IFERROR(I13/H13,"")</f>
        <v/>
      </c>
      <c r="L13">
        <f>IFERROR(OFFSET(K13,-1,0),"")</f>
        <v/>
      </c>
      <c r="M13">
        <f>IF(OR(K13="",L13=""),"",IF(K13&lt;L13,"Improving",IF(K13=L13,"Stable","Adverse")))</f>
        <v/>
      </c>
      <c r="N13">
        <f>COUNTIF(Action_Register!O:O,"Closed")</f>
        <v/>
      </c>
      <c r="O13">
        <f>Summary!B21</f>
        <v/>
      </c>
      <c r="P13">
        <f>IF(E13="","",IFERROR(OFFSET(E13,-1,0),""))</f>
        <v/>
      </c>
      <c r="Q13">
        <f>IF(E13="","",IF(P13="",COUNTIFS(Action_Register!O:O,"Closed",Action_Register!W:W,"&lt;="&amp;E13),COUNTIFS(Action_Register!O:O,"Closed",Action_Register!W:W,"&gt;"&amp;P13,Action_Register!W:W,"&lt;="&amp;E13)))</f>
        <v/>
      </c>
      <c r="R13">
        <f>IF(E13="","",IF(P13="",COUNTIFS(Action_Register!O:O,"Closed",Action_Register!J:J,"Critical",Action_Register!W:W,"&lt;="&amp;E13),COUNTIFS(Action_Register!O:O,"Closed",Action_Register!J:J,"Critical",Action_Register!W:W,"&gt;"&amp;P13,Action_Register!W:W,"&lt;="&amp;E13)))</f>
        <v/>
      </c>
    </row>
    <row r="14">
      <c r="A14" t="inlineStr">
        <is>
          <t>OUT-00013</t>
        </is>
      </c>
      <c r="B14">
        <f>'Company_Profile'!B5</f>
        <v/>
      </c>
      <c r="C14">
        <f>'Company_Profile'!B2</f>
        <v/>
      </c>
      <c r="K14">
        <f>IFERROR(I14/H14,"")</f>
        <v/>
      </c>
      <c r="L14">
        <f>IFERROR(OFFSET(K14,-1,0),"")</f>
        <v/>
      </c>
      <c r="M14">
        <f>IF(OR(K14="",L14=""),"",IF(K14&lt;L14,"Improving",IF(K14=L14,"Stable","Adverse")))</f>
        <v/>
      </c>
      <c r="N14">
        <f>COUNTIF(Action_Register!O:O,"Closed")</f>
        <v/>
      </c>
      <c r="O14">
        <f>Summary!B21</f>
        <v/>
      </c>
      <c r="P14">
        <f>IF(E14="","",IFERROR(OFFSET(E14,-1,0),""))</f>
        <v/>
      </c>
      <c r="Q14">
        <f>IF(E14="","",IF(P14="",COUNTIFS(Action_Register!O:O,"Closed",Action_Register!W:W,"&lt;="&amp;E14),COUNTIFS(Action_Register!O:O,"Closed",Action_Register!W:W,"&gt;"&amp;P14,Action_Register!W:W,"&lt;="&amp;E14)))</f>
        <v/>
      </c>
      <c r="R14">
        <f>IF(E14="","",IF(P14="",COUNTIFS(Action_Register!O:O,"Closed",Action_Register!J:J,"Critical",Action_Register!W:W,"&lt;="&amp;E14),COUNTIFS(Action_Register!O:O,"Closed",Action_Register!J:J,"Critical",Action_Register!W:W,"&gt;"&amp;P14,Action_Register!W:W,"&lt;="&amp;E14)))</f>
        <v/>
      </c>
    </row>
    <row r="15">
      <c r="A15" t="inlineStr">
        <is>
          <t>OUT-00014</t>
        </is>
      </c>
      <c r="B15">
        <f>'Company_Profile'!B5</f>
        <v/>
      </c>
      <c r="C15">
        <f>'Company_Profile'!B2</f>
        <v/>
      </c>
      <c r="K15">
        <f>IFERROR(I15/H15,"")</f>
        <v/>
      </c>
      <c r="L15">
        <f>IFERROR(OFFSET(K15,-1,0),"")</f>
        <v/>
      </c>
      <c r="M15">
        <f>IF(OR(K15="",L15=""),"",IF(K15&lt;L15,"Improving",IF(K15=L15,"Stable","Adverse")))</f>
        <v/>
      </c>
      <c r="N15">
        <f>COUNTIF(Action_Register!O:O,"Closed")</f>
        <v/>
      </c>
      <c r="O15">
        <f>Summary!B21</f>
        <v/>
      </c>
      <c r="P15">
        <f>IF(E15="","",IFERROR(OFFSET(E15,-1,0),""))</f>
        <v/>
      </c>
      <c r="Q15">
        <f>IF(E15="","",IF(P15="",COUNTIFS(Action_Register!O:O,"Closed",Action_Register!W:W,"&lt;="&amp;E15),COUNTIFS(Action_Register!O:O,"Closed",Action_Register!W:W,"&gt;"&amp;P15,Action_Register!W:W,"&lt;="&amp;E15)))</f>
        <v/>
      </c>
      <c r="R15">
        <f>IF(E15="","",IF(P15="",COUNTIFS(Action_Register!O:O,"Closed",Action_Register!J:J,"Critical",Action_Register!W:W,"&lt;="&amp;E15),COUNTIFS(Action_Register!O:O,"Closed",Action_Register!J:J,"Critical",Action_Register!W:W,"&gt;"&amp;P15,Action_Register!W:W,"&lt;="&amp;E15)))</f>
        <v/>
      </c>
    </row>
    <row r="16">
      <c r="A16" t="inlineStr">
        <is>
          <t>OUT-00015</t>
        </is>
      </c>
      <c r="B16">
        <f>'Company_Profile'!B5</f>
        <v/>
      </c>
      <c r="C16">
        <f>'Company_Profile'!B2</f>
        <v/>
      </c>
      <c r="K16">
        <f>IFERROR(I16/H16,"")</f>
        <v/>
      </c>
      <c r="L16">
        <f>IFERROR(OFFSET(K16,-1,0),"")</f>
        <v/>
      </c>
      <c r="M16">
        <f>IF(OR(K16="",L16=""),"",IF(K16&lt;L16,"Improving",IF(K16=L16,"Stable","Adverse")))</f>
        <v/>
      </c>
      <c r="N16">
        <f>COUNTIF(Action_Register!O:O,"Closed")</f>
        <v/>
      </c>
      <c r="O16">
        <f>Summary!B21</f>
        <v/>
      </c>
      <c r="P16">
        <f>IF(E16="","",IFERROR(OFFSET(E16,-1,0),""))</f>
        <v/>
      </c>
      <c r="Q16">
        <f>IF(E16="","",IF(P16="",COUNTIFS(Action_Register!O:O,"Closed",Action_Register!W:W,"&lt;="&amp;E16),COUNTIFS(Action_Register!O:O,"Closed",Action_Register!W:W,"&gt;"&amp;P16,Action_Register!W:W,"&lt;="&amp;E16)))</f>
        <v/>
      </c>
      <c r="R16">
        <f>IF(E16="","",IF(P16="",COUNTIFS(Action_Register!O:O,"Closed",Action_Register!J:J,"Critical",Action_Register!W:W,"&lt;="&amp;E16),COUNTIFS(Action_Register!O:O,"Closed",Action_Register!J:J,"Critical",Action_Register!W:W,"&gt;"&amp;P16,Action_Register!W:W,"&lt;="&amp;E16)))</f>
        <v/>
      </c>
    </row>
    <row r="17">
      <c r="A17" t="inlineStr">
        <is>
          <t>OUT-00016</t>
        </is>
      </c>
      <c r="B17">
        <f>'Company_Profile'!B5</f>
        <v/>
      </c>
      <c r="C17">
        <f>'Company_Profile'!B2</f>
        <v/>
      </c>
      <c r="K17">
        <f>IFERROR(I17/H17,"")</f>
        <v/>
      </c>
      <c r="L17">
        <f>IFERROR(OFFSET(K17,-1,0),"")</f>
        <v/>
      </c>
      <c r="M17">
        <f>IF(OR(K17="",L17=""),"",IF(K17&lt;L17,"Improving",IF(K17=L17,"Stable","Adverse")))</f>
        <v/>
      </c>
      <c r="N17">
        <f>COUNTIF(Action_Register!O:O,"Closed")</f>
        <v/>
      </c>
      <c r="O17">
        <f>Summary!B21</f>
        <v/>
      </c>
      <c r="P17">
        <f>IF(E17="","",IFERROR(OFFSET(E17,-1,0),""))</f>
        <v/>
      </c>
      <c r="Q17">
        <f>IF(E17="","",IF(P17="",COUNTIFS(Action_Register!O:O,"Closed",Action_Register!W:W,"&lt;="&amp;E17),COUNTIFS(Action_Register!O:O,"Closed",Action_Register!W:W,"&gt;"&amp;P17,Action_Register!W:W,"&lt;="&amp;E17)))</f>
        <v/>
      </c>
      <c r="R17">
        <f>IF(E17="","",IF(P17="",COUNTIFS(Action_Register!O:O,"Closed",Action_Register!J:J,"Critical",Action_Register!W:W,"&lt;="&amp;E17),COUNTIFS(Action_Register!O:O,"Closed",Action_Register!J:J,"Critical",Action_Register!W:W,"&gt;"&amp;P17,Action_Register!W:W,"&lt;="&amp;E17)))</f>
        <v/>
      </c>
    </row>
    <row r="18">
      <c r="A18" t="inlineStr">
        <is>
          <t>OUT-00017</t>
        </is>
      </c>
      <c r="B18">
        <f>'Company_Profile'!B5</f>
        <v/>
      </c>
      <c r="C18">
        <f>'Company_Profile'!B2</f>
        <v/>
      </c>
      <c r="K18">
        <f>IFERROR(I18/H18,"")</f>
        <v/>
      </c>
      <c r="L18">
        <f>IFERROR(OFFSET(K18,-1,0),"")</f>
        <v/>
      </c>
      <c r="M18">
        <f>IF(OR(K18="",L18=""),"",IF(K18&lt;L18,"Improving",IF(K18=L18,"Stable","Adverse")))</f>
        <v/>
      </c>
      <c r="N18">
        <f>COUNTIF(Action_Register!O:O,"Closed")</f>
        <v/>
      </c>
      <c r="O18">
        <f>Summary!B21</f>
        <v/>
      </c>
      <c r="P18">
        <f>IF(E18="","",IFERROR(OFFSET(E18,-1,0),""))</f>
        <v/>
      </c>
      <c r="Q18">
        <f>IF(E18="","",IF(P18="",COUNTIFS(Action_Register!O:O,"Closed",Action_Register!W:W,"&lt;="&amp;E18),COUNTIFS(Action_Register!O:O,"Closed",Action_Register!W:W,"&gt;"&amp;P18,Action_Register!W:W,"&lt;="&amp;E18)))</f>
        <v/>
      </c>
      <c r="R18">
        <f>IF(E18="","",IF(P18="",COUNTIFS(Action_Register!O:O,"Closed",Action_Register!J:J,"Critical",Action_Register!W:W,"&lt;="&amp;E18),COUNTIFS(Action_Register!O:O,"Closed",Action_Register!J:J,"Critical",Action_Register!W:W,"&gt;"&amp;P18,Action_Register!W:W,"&lt;="&amp;E18)))</f>
        <v/>
      </c>
    </row>
    <row r="19">
      <c r="A19" t="inlineStr">
        <is>
          <t>OUT-00018</t>
        </is>
      </c>
      <c r="B19">
        <f>'Company_Profile'!B5</f>
        <v/>
      </c>
      <c r="C19">
        <f>'Company_Profile'!B2</f>
        <v/>
      </c>
      <c r="K19">
        <f>IFERROR(I19/H19,"")</f>
        <v/>
      </c>
      <c r="L19">
        <f>IFERROR(OFFSET(K19,-1,0),"")</f>
        <v/>
      </c>
      <c r="M19">
        <f>IF(OR(K19="",L19=""),"",IF(K19&lt;L19,"Improving",IF(K19=L19,"Stable","Adverse")))</f>
        <v/>
      </c>
      <c r="N19">
        <f>COUNTIF(Action_Register!O:O,"Closed")</f>
        <v/>
      </c>
      <c r="O19">
        <f>Summary!B21</f>
        <v/>
      </c>
      <c r="P19">
        <f>IF(E19="","",IFERROR(OFFSET(E19,-1,0),""))</f>
        <v/>
      </c>
      <c r="Q19">
        <f>IF(E19="","",IF(P19="",COUNTIFS(Action_Register!O:O,"Closed",Action_Register!W:W,"&lt;="&amp;E19),COUNTIFS(Action_Register!O:O,"Closed",Action_Register!W:W,"&gt;"&amp;P19,Action_Register!W:W,"&lt;="&amp;E19)))</f>
        <v/>
      </c>
      <c r="R19">
        <f>IF(E19="","",IF(P19="",COUNTIFS(Action_Register!O:O,"Closed",Action_Register!J:J,"Critical",Action_Register!W:W,"&lt;="&amp;E19),COUNTIFS(Action_Register!O:O,"Closed",Action_Register!J:J,"Critical",Action_Register!W:W,"&gt;"&amp;P19,Action_Register!W:W,"&lt;="&amp;E19)))</f>
        <v/>
      </c>
    </row>
    <row r="20">
      <c r="A20" t="inlineStr">
        <is>
          <t>OUT-00019</t>
        </is>
      </c>
      <c r="B20">
        <f>'Company_Profile'!B5</f>
        <v/>
      </c>
      <c r="C20">
        <f>'Company_Profile'!B2</f>
        <v/>
      </c>
      <c r="K20">
        <f>IFERROR(I20/H20,"")</f>
        <v/>
      </c>
      <c r="L20">
        <f>IFERROR(OFFSET(K20,-1,0),"")</f>
        <v/>
      </c>
      <c r="M20">
        <f>IF(OR(K20="",L20=""),"",IF(K20&lt;L20,"Improving",IF(K20=L20,"Stable","Adverse")))</f>
        <v/>
      </c>
      <c r="N20">
        <f>COUNTIF(Action_Register!O:O,"Closed")</f>
        <v/>
      </c>
      <c r="O20">
        <f>Summary!B21</f>
        <v/>
      </c>
      <c r="P20">
        <f>IF(E20="","",IFERROR(OFFSET(E20,-1,0),""))</f>
        <v/>
      </c>
      <c r="Q20">
        <f>IF(E20="","",IF(P20="",COUNTIFS(Action_Register!O:O,"Closed",Action_Register!W:W,"&lt;="&amp;E20),COUNTIFS(Action_Register!O:O,"Closed",Action_Register!W:W,"&gt;"&amp;P20,Action_Register!W:W,"&lt;="&amp;E20)))</f>
        <v/>
      </c>
      <c r="R20">
        <f>IF(E20="","",IF(P20="",COUNTIFS(Action_Register!O:O,"Closed",Action_Register!J:J,"Critical",Action_Register!W:W,"&lt;="&amp;E20),COUNTIFS(Action_Register!O:O,"Closed",Action_Register!J:J,"Critical",Action_Register!W:W,"&gt;"&amp;P20,Action_Register!W:W,"&lt;="&amp;E20)))</f>
        <v/>
      </c>
    </row>
    <row r="21">
      <c r="A21" t="inlineStr">
        <is>
          <t>OUT-00020</t>
        </is>
      </c>
      <c r="B21">
        <f>'Company_Profile'!B5</f>
        <v/>
      </c>
      <c r="C21">
        <f>'Company_Profile'!B2</f>
        <v/>
      </c>
      <c r="K21">
        <f>IFERROR(I21/H21,"")</f>
        <v/>
      </c>
      <c r="L21">
        <f>IFERROR(OFFSET(K21,-1,0),"")</f>
        <v/>
      </c>
      <c r="M21">
        <f>IF(OR(K21="",L21=""),"",IF(K21&lt;L21,"Improving",IF(K21=L21,"Stable","Adverse")))</f>
        <v/>
      </c>
      <c r="N21">
        <f>COUNTIF(Action_Register!O:O,"Closed")</f>
        <v/>
      </c>
      <c r="O21">
        <f>Summary!B21</f>
        <v/>
      </c>
      <c r="P21">
        <f>IF(E21="","",IFERROR(OFFSET(E21,-1,0),""))</f>
        <v/>
      </c>
      <c r="Q21">
        <f>IF(E21="","",IF(P21="",COUNTIFS(Action_Register!O:O,"Closed",Action_Register!W:W,"&lt;="&amp;E21),COUNTIFS(Action_Register!O:O,"Closed",Action_Register!W:W,"&gt;"&amp;P21,Action_Register!W:W,"&lt;="&amp;E21)))</f>
        <v/>
      </c>
      <c r="R21">
        <f>IF(E21="","",IF(P21="",COUNTIFS(Action_Register!O:O,"Closed",Action_Register!J:J,"Critical",Action_Register!W:W,"&lt;="&amp;E21),COUNTIFS(Action_Register!O:O,"Closed",Action_Register!J:J,"Critical",Action_Register!W:W,"&gt;"&amp;P21,Action_Register!W:W,"&lt;="&amp;E21)))</f>
        <v/>
      </c>
    </row>
    <row r="22">
      <c r="A22" t="inlineStr">
        <is>
          <t>OUT-00021</t>
        </is>
      </c>
      <c r="B22">
        <f>'Company_Profile'!B5</f>
        <v/>
      </c>
      <c r="C22">
        <f>'Company_Profile'!B2</f>
        <v/>
      </c>
      <c r="K22">
        <f>IFERROR(I22/H22,"")</f>
        <v/>
      </c>
      <c r="L22">
        <f>IFERROR(OFFSET(K22,-1,0),"")</f>
        <v/>
      </c>
      <c r="M22">
        <f>IF(OR(K22="",L22=""),"",IF(K22&lt;L22,"Improving",IF(K22=L22,"Stable","Adverse")))</f>
        <v/>
      </c>
      <c r="N22">
        <f>COUNTIF(Action_Register!O:O,"Closed")</f>
        <v/>
      </c>
      <c r="O22">
        <f>Summary!B21</f>
        <v/>
      </c>
      <c r="P22">
        <f>IF(E22="","",IFERROR(OFFSET(E22,-1,0),""))</f>
        <v/>
      </c>
      <c r="Q22">
        <f>IF(E22="","",IF(P22="",COUNTIFS(Action_Register!O:O,"Closed",Action_Register!W:W,"&lt;="&amp;E22),COUNTIFS(Action_Register!O:O,"Closed",Action_Register!W:W,"&gt;"&amp;P22,Action_Register!W:W,"&lt;="&amp;E22)))</f>
        <v/>
      </c>
      <c r="R22">
        <f>IF(E22="","",IF(P22="",COUNTIFS(Action_Register!O:O,"Closed",Action_Register!J:J,"Critical",Action_Register!W:W,"&lt;="&amp;E22),COUNTIFS(Action_Register!O:O,"Closed",Action_Register!J:J,"Critical",Action_Register!W:W,"&gt;"&amp;P22,Action_Register!W:W,"&lt;="&amp;E22)))</f>
        <v/>
      </c>
    </row>
    <row r="23">
      <c r="A23" t="inlineStr">
        <is>
          <t>OUT-00022</t>
        </is>
      </c>
      <c r="B23">
        <f>'Company_Profile'!B5</f>
        <v/>
      </c>
      <c r="C23">
        <f>'Company_Profile'!B2</f>
        <v/>
      </c>
      <c r="K23">
        <f>IFERROR(I23/H23,"")</f>
        <v/>
      </c>
      <c r="L23">
        <f>IFERROR(OFFSET(K23,-1,0),"")</f>
        <v/>
      </c>
      <c r="M23">
        <f>IF(OR(K23="",L23=""),"",IF(K23&lt;L23,"Improving",IF(K23=L23,"Stable","Adverse")))</f>
        <v/>
      </c>
      <c r="N23">
        <f>COUNTIF(Action_Register!O:O,"Closed")</f>
        <v/>
      </c>
      <c r="O23">
        <f>Summary!B21</f>
        <v/>
      </c>
      <c r="P23">
        <f>IF(E23="","",IFERROR(OFFSET(E23,-1,0),""))</f>
        <v/>
      </c>
      <c r="Q23">
        <f>IF(E23="","",IF(P23="",COUNTIFS(Action_Register!O:O,"Closed",Action_Register!W:W,"&lt;="&amp;E23),COUNTIFS(Action_Register!O:O,"Closed",Action_Register!W:W,"&gt;"&amp;P23,Action_Register!W:W,"&lt;="&amp;E23)))</f>
        <v/>
      </c>
      <c r="R23">
        <f>IF(E23="","",IF(P23="",COUNTIFS(Action_Register!O:O,"Closed",Action_Register!J:J,"Critical",Action_Register!W:W,"&lt;="&amp;E23),COUNTIFS(Action_Register!O:O,"Closed",Action_Register!J:J,"Critical",Action_Register!W:W,"&gt;"&amp;P23,Action_Register!W:W,"&lt;="&amp;E23)))</f>
        <v/>
      </c>
    </row>
    <row r="24">
      <c r="A24" t="inlineStr">
        <is>
          <t>OUT-00023</t>
        </is>
      </c>
      <c r="B24">
        <f>'Company_Profile'!B5</f>
        <v/>
      </c>
      <c r="C24">
        <f>'Company_Profile'!B2</f>
        <v/>
      </c>
      <c r="K24">
        <f>IFERROR(I24/H24,"")</f>
        <v/>
      </c>
      <c r="L24">
        <f>IFERROR(OFFSET(K24,-1,0),"")</f>
        <v/>
      </c>
      <c r="M24">
        <f>IF(OR(K24="",L24=""),"",IF(K24&lt;L24,"Improving",IF(K24=L24,"Stable","Adverse")))</f>
        <v/>
      </c>
      <c r="N24">
        <f>COUNTIF(Action_Register!O:O,"Closed")</f>
        <v/>
      </c>
      <c r="O24">
        <f>Summary!B21</f>
        <v/>
      </c>
      <c r="P24">
        <f>IF(E24="","",IFERROR(OFFSET(E24,-1,0),""))</f>
        <v/>
      </c>
      <c r="Q24">
        <f>IF(E24="","",IF(P24="",COUNTIFS(Action_Register!O:O,"Closed",Action_Register!W:W,"&lt;="&amp;E24),COUNTIFS(Action_Register!O:O,"Closed",Action_Register!W:W,"&gt;"&amp;P24,Action_Register!W:W,"&lt;="&amp;E24)))</f>
        <v/>
      </c>
      <c r="R24">
        <f>IF(E24="","",IF(P24="",COUNTIFS(Action_Register!O:O,"Closed",Action_Register!J:J,"Critical",Action_Register!W:W,"&lt;="&amp;E24),COUNTIFS(Action_Register!O:O,"Closed",Action_Register!J:J,"Critical",Action_Register!W:W,"&gt;"&amp;P24,Action_Register!W:W,"&lt;="&amp;E24)))</f>
        <v/>
      </c>
    </row>
    <row r="25">
      <c r="A25" t="inlineStr">
        <is>
          <t>OUT-00024</t>
        </is>
      </c>
      <c r="B25">
        <f>'Company_Profile'!B5</f>
        <v/>
      </c>
      <c r="C25">
        <f>'Company_Profile'!B2</f>
        <v/>
      </c>
      <c r="K25">
        <f>IFERROR(I25/H25,"")</f>
        <v/>
      </c>
      <c r="L25">
        <f>IFERROR(OFFSET(K25,-1,0),"")</f>
        <v/>
      </c>
      <c r="M25">
        <f>IF(OR(K25="",L25=""),"",IF(K25&lt;L25,"Improving",IF(K25=L25,"Stable","Adverse")))</f>
        <v/>
      </c>
      <c r="N25">
        <f>COUNTIF(Action_Register!O:O,"Closed")</f>
        <v/>
      </c>
      <c r="O25">
        <f>Summary!B21</f>
        <v/>
      </c>
      <c r="P25">
        <f>IF(E25="","",IFERROR(OFFSET(E25,-1,0),""))</f>
        <v/>
      </c>
      <c r="Q25">
        <f>IF(E25="","",IF(P25="",COUNTIFS(Action_Register!O:O,"Closed",Action_Register!W:W,"&lt;="&amp;E25),COUNTIFS(Action_Register!O:O,"Closed",Action_Register!W:W,"&gt;"&amp;P25,Action_Register!W:W,"&lt;="&amp;E25)))</f>
        <v/>
      </c>
      <c r="R25">
        <f>IF(E25="","",IF(P25="",COUNTIFS(Action_Register!O:O,"Closed",Action_Register!J:J,"Critical",Action_Register!W:W,"&lt;="&amp;E25),COUNTIFS(Action_Register!O:O,"Closed",Action_Register!J:J,"Critical",Action_Register!W:W,"&gt;"&amp;P25,Action_Register!W:W,"&lt;="&amp;E25)))</f>
        <v/>
      </c>
    </row>
    <row r="26">
      <c r="A26" t="inlineStr">
        <is>
          <t>OUT-00025</t>
        </is>
      </c>
      <c r="B26">
        <f>'Company_Profile'!B5</f>
        <v/>
      </c>
      <c r="C26">
        <f>'Company_Profile'!B2</f>
        <v/>
      </c>
      <c r="K26">
        <f>IFERROR(I26/H26,"")</f>
        <v/>
      </c>
      <c r="L26">
        <f>IFERROR(OFFSET(K26,-1,0),"")</f>
        <v/>
      </c>
      <c r="M26">
        <f>IF(OR(K26="",L26=""),"",IF(K26&lt;L26,"Improving",IF(K26=L26,"Stable","Adverse")))</f>
        <v/>
      </c>
      <c r="N26">
        <f>COUNTIF(Action_Register!O:O,"Closed")</f>
        <v/>
      </c>
      <c r="O26">
        <f>Summary!B21</f>
        <v/>
      </c>
      <c r="P26">
        <f>IF(E26="","",IFERROR(OFFSET(E26,-1,0),""))</f>
        <v/>
      </c>
      <c r="Q26">
        <f>IF(E26="","",IF(P26="",COUNTIFS(Action_Register!O:O,"Closed",Action_Register!W:W,"&lt;="&amp;E26),COUNTIFS(Action_Register!O:O,"Closed",Action_Register!W:W,"&gt;"&amp;P26,Action_Register!W:W,"&lt;="&amp;E26)))</f>
        <v/>
      </c>
      <c r="R26">
        <f>IF(E26="","",IF(P26="",COUNTIFS(Action_Register!O:O,"Closed",Action_Register!J:J,"Critical",Action_Register!W:W,"&lt;="&amp;E26),COUNTIFS(Action_Register!O:O,"Closed",Action_Register!J:J,"Critical",Action_Register!W:W,"&gt;"&amp;P26,Action_Register!W:W,"&lt;="&amp;E26)))</f>
        <v/>
      </c>
    </row>
    <row r="27">
      <c r="A27" t="inlineStr">
        <is>
          <t>OUT-00026</t>
        </is>
      </c>
      <c r="B27">
        <f>'Company_Profile'!B5</f>
        <v/>
      </c>
      <c r="C27">
        <f>'Company_Profile'!B2</f>
        <v/>
      </c>
      <c r="K27">
        <f>IFERROR(I27/H27,"")</f>
        <v/>
      </c>
      <c r="L27">
        <f>IFERROR(OFFSET(K27,-1,0),"")</f>
        <v/>
      </c>
      <c r="M27">
        <f>IF(OR(K27="",L27=""),"",IF(K27&lt;L27,"Improving",IF(K27=L27,"Stable","Adverse")))</f>
        <v/>
      </c>
      <c r="N27">
        <f>COUNTIF(Action_Register!O:O,"Closed")</f>
        <v/>
      </c>
      <c r="O27">
        <f>Summary!B21</f>
        <v/>
      </c>
      <c r="P27">
        <f>IF(E27="","",IFERROR(OFFSET(E27,-1,0),""))</f>
        <v/>
      </c>
      <c r="Q27">
        <f>IF(E27="","",IF(P27="",COUNTIFS(Action_Register!O:O,"Closed",Action_Register!W:W,"&lt;="&amp;E27),COUNTIFS(Action_Register!O:O,"Closed",Action_Register!W:W,"&gt;"&amp;P27,Action_Register!W:W,"&lt;="&amp;E27)))</f>
        <v/>
      </c>
      <c r="R27">
        <f>IF(E27="","",IF(P27="",COUNTIFS(Action_Register!O:O,"Closed",Action_Register!J:J,"Critical",Action_Register!W:W,"&lt;="&amp;E27),COUNTIFS(Action_Register!O:O,"Closed",Action_Register!J:J,"Critical",Action_Register!W:W,"&gt;"&amp;P27,Action_Register!W:W,"&lt;="&amp;E27)))</f>
        <v/>
      </c>
    </row>
    <row r="28">
      <c r="A28" t="inlineStr">
        <is>
          <t>OUT-00027</t>
        </is>
      </c>
      <c r="B28">
        <f>'Company_Profile'!B5</f>
        <v/>
      </c>
      <c r="C28">
        <f>'Company_Profile'!B2</f>
        <v/>
      </c>
      <c r="K28">
        <f>IFERROR(I28/H28,"")</f>
        <v/>
      </c>
      <c r="L28">
        <f>IFERROR(OFFSET(K28,-1,0),"")</f>
        <v/>
      </c>
      <c r="M28">
        <f>IF(OR(K28="",L28=""),"",IF(K28&lt;L28,"Improving",IF(K28=L28,"Stable","Adverse")))</f>
        <v/>
      </c>
      <c r="N28">
        <f>COUNTIF(Action_Register!O:O,"Closed")</f>
        <v/>
      </c>
      <c r="O28">
        <f>Summary!B21</f>
        <v/>
      </c>
      <c r="P28">
        <f>IF(E28="","",IFERROR(OFFSET(E28,-1,0),""))</f>
        <v/>
      </c>
      <c r="Q28">
        <f>IF(E28="","",IF(P28="",COUNTIFS(Action_Register!O:O,"Closed",Action_Register!W:W,"&lt;="&amp;E28),COUNTIFS(Action_Register!O:O,"Closed",Action_Register!W:W,"&gt;"&amp;P28,Action_Register!W:W,"&lt;="&amp;E28)))</f>
        <v/>
      </c>
      <c r="R28">
        <f>IF(E28="","",IF(P28="",COUNTIFS(Action_Register!O:O,"Closed",Action_Register!J:J,"Critical",Action_Register!W:W,"&lt;="&amp;E28),COUNTIFS(Action_Register!O:O,"Closed",Action_Register!J:J,"Critical",Action_Register!W:W,"&gt;"&amp;P28,Action_Register!W:W,"&lt;="&amp;E28)))</f>
        <v/>
      </c>
    </row>
    <row r="29">
      <c r="A29" t="inlineStr">
        <is>
          <t>OUT-00028</t>
        </is>
      </c>
      <c r="B29">
        <f>'Company_Profile'!B5</f>
        <v/>
      </c>
      <c r="C29">
        <f>'Company_Profile'!B2</f>
        <v/>
      </c>
      <c r="K29">
        <f>IFERROR(I29/H29,"")</f>
        <v/>
      </c>
      <c r="L29">
        <f>IFERROR(OFFSET(K29,-1,0),"")</f>
        <v/>
      </c>
      <c r="M29">
        <f>IF(OR(K29="",L29=""),"",IF(K29&lt;L29,"Improving",IF(K29=L29,"Stable","Adverse")))</f>
        <v/>
      </c>
      <c r="N29">
        <f>COUNTIF(Action_Register!O:O,"Closed")</f>
        <v/>
      </c>
      <c r="O29">
        <f>Summary!B21</f>
        <v/>
      </c>
      <c r="P29">
        <f>IF(E29="","",IFERROR(OFFSET(E29,-1,0),""))</f>
        <v/>
      </c>
      <c r="Q29">
        <f>IF(E29="","",IF(P29="",COUNTIFS(Action_Register!O:O,"Closed",Action_Register!W:W,"&lt;="&amp;E29),COUNTIFS(Action_Register!O:O,"Closed",Action_Register!W:W,"&gt;"&amp;P29,Action_Register!W:W,"&lt;="&amp;E29)))</f>
        <v/>
      </c>
      <c r="R29">
        <f>IF(E29="","",IF(P29="",COUNTIFS(Action_Register!O:O,"Closed",Action_Register!J:J,"Critical",Action_Register!W:W,"&lt;="&amp;E29),COUNTIFS(Action_Register!O:O,"Closed",Action_Register!J:J,"Critical",Action_Register!W:W,"&gt;"&amp;P29,Action_Register!W:W,"&lt;="&amp;E29)))</f>
        <v/>
      </c>
    </row>
    <row r="30">
      <c r="A30" t="inlineStr">
        <is>
          <t>OUT-00029</t>
        </is>
      </c>
      <c r="B30">
        <f>'Company_Profile'!B5</f>
        <v/>
      </c>
      <c r="C30">
        <f>'Company_Profile'!B2</f>
        <v/>
      </c>
      <c r="K30">
        <f>IFERROR(I30/H30,"")</f>
        <v/>
      </c>
      <c r="L30">
        <f>IFERROR(OFFSET(K30,-1,0),"")</f>
        <v/>
      </c>
      <c r="M30">
        <f>IF(OR(K30="",L30=""),"",IF(K30&lt;L30,"Improving",IF(K30=L30,"Stable","Adverse")))</f>
        <v/>
      </c>
      <c r="N30">
        <f>COUNTIF(Action_Register!O:O,"Closed")</f>
        <v/>
      </c>
      <c r="O30">
        <f>Summary!B21</f>
        <v/>
      </c>
      <c r="P30">
        <f>IF(E30="","",IFERROR(OFFSET(E30,-1,0),""))</f>
        <v/>
      </c>
      <c r="Q30">
        <f>IF(E30="","",IF(P30="",COUNTIFS(Action_Register!O:O,"Closed",Action_Register!W:W,"&lt;="&amp;E30),COUNTIFS(Action_Register!O:O,"Closed",Action_Register!W:W,"&gt;"&amp;P30,Action_Register!W:W,"&lt;="&amp;E30)))</f>
        <v/>
      </c>
      <c r="R30">
        <f>IF(E30="","",IF(P30="",COUNTIFS(Action_Register!O:O,"Closed",Action_Register!J:J,"Critical",Action_Register!W:W,"&lt;="&amp;E30),COUNTIFS(Action_Register!O:O,"Closed",Action_Register!J:J,"Critical",Action_Register!W:W,"&gt;"&amp;P30,Action_Register!W:W,"&lt;="&amp;E30)))</f>
        <v/>
      </c>
    </row>
    <row r="31">
      <c r="A31" t="inlineStr">
        <is>
          <t>OUT-00030</t>
        </is>
      </c>
      <c r="B31">
        <f>'Company_Profile'!B5</f>
        <v/>
      </c>
      <c r="C31">
        <f>'Company_Profile'!B2</f>
        <v/>
      </c>
      <c r="K31">
        <f>IFERROR(I31/H31,"")</f>
        <v/>
      </c>
      <c r="L31">
        <f>IFERROR(OFFSET(K31,-1,0),"")</f>
        <v/>
      </c>
      <c r="M31">
        <f>IF(OR(K31="",L31=""),"",IF(K31&lt;L31,"Improving",IF(K31=L31,"Stable","Adverse")))</f>
        <v/>
      </c>
      <c r="N31">
        <f>COUNTIF(Action_Register!O:O,"Closed")</f>
        <v/>
      </c>
      <c r="O31">
        <f>Summary!B21</f>
        <v/>
      </c>
      <c r="P31">
        <f>IF(E31="","",IFERROR(OFFSET(E31,-1,0),""))</f>
        <v/>
      </c>
      <c r="Q31">
        <f>IF(E31="","",IF(P31="",COUNTIFS(Action_Register!O:O,"Closed",Action_Register!W:W,"&lt;="&amp;E31),COUNTIFS(Action_Register!O:O,"Closed",Action_Register!W:W,"&gt;"&amp;P31,Action_Register!W:W,"&lt;="&amp;E31)))</f>
        <v/>
      </c>
      <c r="R31">
        <f>IF(E31="","",IF(P31="",COUNTIFS(Action_Register!O:O,"Closed",Action_Register!J:J,"Critical",Action_Register!W:W,"&lt;="&amp;E31),COUNTIFS(Action_Register!O:O,"Closed",Action_Register!J:J,"Critical",Action_Register!W:W,"&gt;"&amp;P31,Action_Register!W:W,"&lt;="&amp;E31)))</f>
        <v/>
      </c>
    </row>
    <row r="32">
      <c r="A32" t="inlineStr">
        <is>
          <t>OUT-00031</t>
        </is>
      </c>
      <c r="B32">
        <f>'Company_Profile'!B5</f>
        <v/>
      </c>
      <c r="C32">
        <f>'Company_Profile'!B2</f>
        <v/>
      </c>
      <c r="K32">
        <f>IFERROR(I32/H32,"")</f>
        <v/>
      </c>
      <c r="L32">
        <f>IFERROR(OFFSET(K32,-1,0),"")</f>
        <v/>
      </c>
      <c r="M32">
        <f>IF(OR(K32="",L32=""),"",IF(K32&lt;L32,"Improving",IF(K32=L32,"Stable","Adverse")))</f>
        <v/>
      </c>
      <c r="N32">
        <f>COUNTIF(Action_Register!O:O,"Closed")</f>
        <v/>
      </c>
      <c r="O32">
        <f>Summary!B21</f>
        <v/>
      </c>
      <c r="P32">
        <f>IF(E32="","",IFERROR(OFFSET(E32,-1,0),""))</f>
        <v/>
      </c>
      <c r="Q32">
        <f>IF(E32="","",IF(P32="",COUNTIFS(Action_Register!O:O,"Closed",Action_Register!W:W,"&lt;="&amp;E32),COUNTIFS(Action_Register!O:O,"Closed",Action_Register!W:W,"&gt;"&amp;P32,Action_Register!W:W,"&lt;="&amp;E32)))</f>
        <v/>
      </c>
      <c r="R32">
        <f>IF(E32="","",IF(P32="",COUNTIFS(Action_Register!O:O,"Closed",Action_Register!J:J,"Critical",Action_Register!W:W,"&lt;="&amp;E32),COUNTIFS(Action_Register!O:O,"Closed",Action_Register!J:J,"Critical",Action_Register!W:W,"&gt;"&amp;P32,Action_Register!W:W,"&lt;="&amp;E32)))</f>
        <v/>
      </c>
    </row>
    <row r="33">
      <c r="A33" t="inlineStr">
        <is>
          <t>OUT-00032</t>
        </is>
      </c>
      <c r="B33">
        <f>'Company_Profile'!B5</f>
        <v/>
      </c>
      <c r="C33">
        <f>'Company_Profile'!B2</f>
        <v/>
      </c>
      <c r="K33">
        <f>IFERROR(I33/H33,"")</f>
        <v/>
      </c>
      <c r="L33">
        <f>IFERROR(OFFSET(K33,-1,0),"")</f>
        <v/>
      </c>
      <c r="M33">
        <f>IF(OR(K33="",L33=""),"",IF(K33&lt;L33,"Improving",IF(K33=L33,"Stable","Adverse")))</f>
        <v/>
      </c>
      <c r="N33">
        <f>COUNTIF(Action_Register!O:O,"Closed")</f>
        <v/>
      </c>
      <c r="O33">
        <f>Summary!B21</f>
        <v/>
      </c>
      <c r="P33">
        <f>IF(E33="","",IFERROR(OFFSET(E33,-1,0),""))</f>
        <v/>
      </c>
      <c r="Q33">
        <f>IF(E33="","",IF(P33="",COUNTIFS(Action_Register!O:O,"Closed",Action_Register!W:W,"&lt;="&amp;E33),COUNTIFS(Action_Register!O:O,"Closed",Action_Register!W:W,"&gt;"&amp;P33,Action_Register!W:W,"&lt;="&amp;E33)))</f>
        <v/>
      </c>
      <c r="R33">
        <f>IF(E33="","",IF(P33="",COUNTIFS(Action_Register!O:O,"Closed",Action_Register!J:J,"Critical",Action_Register!W:W,"&lt;="&amp;E33),COUNTIFS(Action_Register!O:O,"Closed",Action_Register!J:J,"Critical",Action_Register!W:W,"&gt;"&amp;P33,Action_Register!W:W,"&lt;="&amp;E33)))</f>
        <v/>
      </c>
    </row>
    <row r="34">
      <c r="A34" t="inlineStr">
        <is>
          <t>OUT-00033</t>
        </is>
      </c>
      <c r="B34">
        <f>'Company_Profile'!B5</f>
        <v/>
      </c>
      <c r="C34">
        <f>'Company_Profile'!B2</f>
        <v/>
      </c>
      <c r="K34">
        <f>IFERROR(I34/H34,"")</f>
        <v/>
      </c>
      <c r="L34">
        <f>IFERROR(OFFSET(K34,-1,0),"")</f>
        <v/>
      </c>
      <c r="M34">
        <f>IF(OR(K34="",L34=""),"",IF(K34&lt;L34,"Improving",IF(K34=L34,"Stable","Adverse")))</f>
        <v/>
      </c>
      <c r="N34">
        <f>COUNTIF(Action_Register!O:O,"Closed")</f>
        <v/>
      </c>
      <c r="O34">
        <f>Summary!B21</f>
        <v/>
      </c>
      <c r="P34">
        <f>IF(E34="","",IFERROR(OFFSET(E34,-1,0),""))</f>
        <v/>
      </c>
      <c r="Q34">
        <f>IF(E34="","",IF(P34="",COUNTIFS(Action_Register!O:O,"Closed",Action_Register!W:W,"&lt;="&amp;E34),COUNTIFS(Action_Register!O:O,"Closed",Action_Register!W:W,"&gt;"&amp;P34,Action_Register!W:W,"&lt;="&amp;E34)))</f>
        <v/>
      </c>
      <c r="R34">
        <f>IF(E34="","",IF(P34="",COUNTIFS(Action_Register!O:O,"Closed",Action_Register!J:J,"Critical",Action_Register!W:W,"&lt;="&amp;E34),COUNTIFS(Action_Register!O:O,"Closed",Action_Register!J:J,"Critical",Action_Register!W:W,"&gt;"&amp;P34,Action_Register!W:W,"&lt;="&amp;E34)))</f>
        <v/>
      </c>
    </row>
    <row r="35">
      <c r="A35" t="inlineStr">
        <is>
          <t>OUT-00034</t>
        </is>
      </c>
      <c r="B35">
        <f>'Company_Profile'!B5</f>
        <v/>
      </c>
      <c r="C35">
        <f>'Company_Profile'!B2</f>
        <v/>
      </c>
      <c r="K35">
        <f>IFERROR(I35/H35,"")</f>
        <v/>
      </c>
      <c r="L35">
        <f>IFERROR(OFFSET(K35,-1,0),"")</f>
        <v/>
      </c>
      <c r="M35">
        <f>IF(OR(K35="",L35=""),"",IF(K35&lt;L35,"Improving",IF(K35=L35,"Stable","Adverse")))</f>
        <v/>
      </c>
      <c r="N35">
        <f>COUNTIF(Action_Register!O:O,"Closed")</f>
        <v/>
      </c>
      <c r="O35">
        <f>Summary!B21</f>
        <v/>
      </c>
      <c r="P35">
        <f>IF(E35="","",IFERROR(OFFSET(E35,-1,0),""))</f>
        <v/>
      </c>
      <c r="Q35">
        <f>IF(E35="","",IF(P35="",COUNTIFS(Action_Register!O:O,"Closed",Action_Register!W:W,"&lt;="&amp;E35),COUNTIFS(Action_Register!O:O,"Closed",Action_Register!W:W,"&gt;"&amp;P35,Action_Register!W:W,"&lt;="&amp;E35)))</f>
        <v/>
      </c>
      <c r="R35">
        <f>IF(E35="","",IF(P35="",COUNTIFS(Action_Register!O:O,"Closed",Action_Register!J:J,"Critical",Action_Register!W:W,"&lt;="&amp;E35),COUNTIFS(Action_Register!O:O,"Closed",Action_Register!J:J,"Critical",Action_Register!W:W,"&gt;"&amp;P35,Action_Register!W:W,"&lt;="&amp;E35)))</f>
        <v/>
      </c>
    </row>
    <row r="36">
      <c r="A36" t="inlineStr">
        <is>
          <t>OUT-00035</t>
        </is>
      </c>
      <c r="B36">
        <f>'Company_Profile'!B5</f>
        <v/>
      </c>
      <c r="C36">
        <f>'Company_Profile'!B2</f>
        <v/>
      </c>
      <c r="K36">
        <f>IFERROR(I36/H36,"")</f>
        <v/>
      </c>
      <c r="L36">
        <f>IFERROR(OFFSET(K36,-1,0),"")</f>
        <v/>
      </c>
      <c r="M36">
        <f>IF(OR(K36="",L36=""),"",IF(K36&lt;L36,"Improving",IF(K36=L36,"Stable","Adverse")))</f>
        <v/>
      </c>
      <c r="N36">
        <f>COUNTIF(Action_Register!O:O,"Closed")</f>
        <v/>
      </c>
      <c r="O36">
        <f>Summary!B21</f>
        <v/>
      </c>
      <c r="P36">
        <f>IF(E36="","",IFERROR(OFFSET(E36,-1,0),""))</f>
        <v/>
      </c>
      <c r="Q36">
        <f>IF(E36="","",IF(P36="",COUNTIFS(Action_Register!O:O,"Closed",Action_Register!W:W,"&lt;="&amp;E36),COUNTIFS(Action_Register!O:O,"Closed",Action_Register!W:W,"&gt;"&amp;P36,Action_Register!W:W,"&lt;="&amp;E36)))</f>
        <v/>
      </c>
      <c r="R36">
        <f>IF(E36="","",IF(P36="",COUNTIFS(Action_Register!O:O,"Closed",Action_Register!J:J,"Critical",Action_Register!W:W,"&lt;="&amp;E36),COUNTIFS(Action_Register!O:O,"Closed",Action_Register!J:J,"Critical",Action_Register!W:W,"&gt;"&amp;P36,Action_Register!W:W,"&lt;="&amp;E36)))</f>
        <v/>
      </c>
    </row>
    <row r="37">
      <c r="A37" t="inlineStr">
        <is>
          <t>OUT-00036</t>
        </is>
      </c>
      <c r="B37">
        <f>'Company_Profile'!B5</f>
        <v/>
      </c>
      <c r="C37">
        <f>'Company_Profile'!B2</f>
        <v/>
      </c>
      <c r="K37">
        <f>IFERROR(I37/H37,"")</f>
        <v/>
      </c>
      <c r="L37">
        <f>IFERROR(OFFSET(K37,-1,0),"")</f>
        <v/>
      </c>
      <c r="M37">
        <f>IF(OR(K37="",L37=""),"",IF(K37&lt;L37,"Improving",IF(K37=L37,"Stable","Adverse")))</f>
        <v/>
      </c>
      <c r="N37">
        <f>COUNTIF(Action_Register!O:O,"Closed")</f>
        <v/>
      </c>
      <c r="O37">
        <f>Summary!B21</f>
        <v/>
      </c>
      <c r="P37">
        <f>IF(E37="","",IFERROR(OFFSET(E37,-1,0),""))</f>
        <v/>
      </c>
      <c r="Q37">
        <f>IF(E37="","",IF(P37="",COUNTIFS(Action_Register!O:O,"Closed",Action_Register!W:W,"&lt;="&amp;E37),COUNTIFS(Action_Register!O:O,"Closed",Action_Register!W:W,"&gt;"&amp;P37,Action_Register!W:W,"&lt;="&amp;E37)))</f>
        <v/>
      </c>
      <c r="R37">
        <f>IF(E37="","",IF(P37="",COUNTIFS(Action_Register!O:O,"Closed",Action_Register!J:J,"Critical",Action_Register!W:W,"&lt;="&amp;E37),COUNTIFS(Action_Register!O:O,"Closed",Action_Register!J:J,"Critical",Action_Register!W:W,"&gt;"&amp;P37,Action_Register!W:W,"&lt;="&amp;E37)))</f>
        <v/>
      </c>
    </row>
    <row r="38">
      <c r="A38" t="inlineStr">
        <is>
          <t>OUT-00037</t>
        </is>
      </c>
      <c r="B38">
        <f>'Company_Profile'!B5</f>
        <v/>
      </c>
      <c r="C38">
        <f>'Company_Profile'!B2</f>
        <v/>
      </c>
      <c r="K38">
        <f>IFERROR(I38/H38,"")</f>
        <v/>
      </c>
      <c r="L38">
        <f>IFERROR(OFFSET(K38,-1,0),"")</f>
        <v/>
      </c>
      <c r="M38">
        <f>IF(OR(K38="",L38=""),"",IF(K38&lt;L38,"Improving",IF(K38=L38,"Stable","Adverse")))</f>
        <v/>
      </c>
      <c r="N38">
        <f>COUNTIF(Action_Register!O:O,"Closed")</f>
        <v/>
      </c>
      <c r="O38">
        <f>Summary!B21</f>
        <v/>
      </c>
      <c r="P38">
        <f>IF(E38="","",IFERROR(OFFSET(E38,-1,0),""))</f>
        <v/>
      </c>
      <c r="Q38">
        <f>IF(E38="","",IF(P38="",COUNTIFS(Action_Register!O:O,"Closed",Action_Register!W:W,"&lt;="&amp;E38),COUNTIFS(Action_Register!O:O,"Closed",Action_Register!W:W,"&gt;"&amp;P38,Action_Register!W:W,"&lt;="&amp;E38)))</f>
        <v/>
      </c>
      <c r="R38">
        <f>IF(E38="","",IF(P38="",COUNTIFS(Action_Register!O:O,"Closed",Action_Register!J:J,"Critical",Action_Register!W:W,"&lt;="&amp;E38),COUNTIFS(Action_Register!O:O,"Closed",Action_Register!J:J,"Critical",Action_Register!W:W,"&gt;"&amp;P38,Action_Register!W:W,"&lt;="&amp;E38)))</f>
        <v/>
      </c>
    </row>
    <row r="39">
      <c r="A39" t="inlineStr">
        <is>
          <t>OUT-00038</t>
        </is>
      </c>
      <c r="B39">
        <f>'Company_Profile'!B5</f>
        <v/>
      </c>
      <c r="C39">
        <f>'Company_Profile'!B2</f>
        <v/>
      </c>
      <c r="K39">
        <f>IFERROR(I39/H39,"")</f>
        <v/>
      </c>
      <c r="L39">
        <f>IFERROR(OFFSET(K39,-1,0),"")</f>
        <v/>
      </c>
      <c r="M39">
        <f>IF(OR(K39="",L39=""),"",IF(K39&lt;L39,"Improving",IF(K39=L39,"Stable","Adverse")))</f>
        <v/>
      </c>
      <c r="N39">
        <f>COUNTIF(Action_Register!O:O,"Closed")</f>
        <v/>
      </c>
      <c r="O39">
        <f>Summary!B21</f>
        <v/>
      </c>
      <c r="P39">
        <f>IF(E39="","",IFERROR(OFFSET(E39,-1,0),""))</f>
        <v/>
      </c>
      <c r="Q39">
        <f>IF(E39="","",IF(P39="",COUNTIFS(Action_Register!O:O,"Closed",Action_Register!W:W,"&lt;="&amp;E39),COUNTIFS(Action_Register!O:O,"Closed",Action_Register!W:W,"&gt;"&amp;P39,Action_Register!W:W,"&lt;="&amp;E39)))</f>
        <v/>
      </c>
      <c r="R39">
        <f>IF(E39="","",IF(P39="",COUNTIFS(Action_Register!O:O,"Closed",Action_Register!J:J,"Critical",Action_Register!W:W,"&lt;="&amp;E39),COUNTIFS(Action_Register!O:O,"Closed",Action_Register!J:J,"Critical",Action_Register!W:W,"&gt;"&amp;P39,Action_Register!W:W,"&lt;="&amp;E39)))</f>
        <v/>
      </c>
    </row>
    <row r="40">
      <c r="A40" t="inlineStr">
        <is>
          <t>OUT-00039</t>
        </is>
      </c>
      <c r="B40">
        <f>'Company_Profile'!B5</f>
        <v/>
      </c>
      <c r="C40">
        <f>'Company_Profile'!B2</f>
        <v/>
      </c>
      <c r="K40">
        <f>IFERROR(I40/H40,"")</f>
        <v/>
      </c>
      <c r="L40">
        <f>IFERROR(OFFSET(K40,-1,0),"")</f>
        <v/>
      </c>
      <c r="M40">
        <f>IF(OR(K40="",L40=""),"",IF(K40&lt;L40,"Improving",IF(K40=L40,"Stable","Adverse")))</f>
        <v/>
      </c>
      <c r="N40">
        <f>COUNTIF(Action_Register!O:O,"Closed")</f>
        <v/>
      </c>
      <c r="O40">
        <f>Summary!B21</f>
        <v/>
      </c>
      <c r="P40">
        <f>IF(E40="","",IFERROR(OFFSET(E40,-1,0),""))</f>
        <v/>
      </c>
      <c r="Q40">
        <f>IF(E40="","",IF(P40="",COUNTIFS(Action_Register!O:O,"Closed",Action_Register!W:W,"&lt;="&amp;E40),COUNTIFS(Action_Register!O:O,"Closed",Action_Register!W:W,"&gt;"&amp;P40,Action_Register!W:W,"&lt;="&amp;E40)))</f>
        <v/>
      </c>
      <c r="R40">
        <f>IF(E40="","",IF(P40="",COUNTIFS(Action_Register!O:O,"Closed",Action_Register!J:J,"Critical",Action_Register!W:W,"&lt;="&amp;E40),COUNTIFS(Action_Register!O:O,"Closed",Action_Register!J:J,"Critical",Action_Register!W:W,"&gt;"&amp;P40,Action_Register!W:W,"&lt;="&amp;E40)))</f>
        <v/>
      </c>
    </row>
    <row r="41">
      <c r="A41" t="inlineStr">
        <is>
          <t>OUT-00040</t>
        </is>
      </c>
      <c r="B41">
        <f>'Company_Profile'!B5</f>
        <v/>
      </c>
      <c r="C41">
        <f>'Company_Profile'!B2</f>
        <v/>
      </c>
      <c r="K41">
        <f>IFERROR(I41/H41,"")</f>
        <v/>
      </c>
      <c r="L41">
        <f>IFERROR(OFFSET(K41,-1,0),"")</f>
        <v/>
      </c>
      <c r="M41">
        <f>IF(OR(K41="",L41=""),"",IF(K41&lt;L41,"Improving",IF(K41=L41,"Stable","Adverse")))</f>
        <v/>
      </c>
      <c r="N41">
        <f>COUNTIF(Action_Register!O:O,"Closed")</f>
        <v/>
      </c>
      <c r="O41">
        <f>Summary!B21</f>
        <v/>
      </c>
      <c r="P41">
        <f>IF(E41="","",IFERROR(OFFSET(E41,-1,0),""))</f>
        <v/>
      </c>
      <c r="Q41">
        <f>IF(E41="","",IF(P41="",COUNTIFS(Action_Register!O:O,"Closed",Action_Register!W:W,"&lt;="&amp;E41),COUNTIFS(Action_Register!O:O,"Closed",Action_Register!W:W,"&gt;"&amp;P41,Action_Register!W:W,"&lt;="&amp;E41)))</f>
        <v/>
      </c>
      <c r="R41">
        <f>IF(E41="","",IF(P41="",COUNTIFS(Action_Register!O:O,"Closed",Action_Register!J:J,"Critical",Action_Register!W:W,"&lt;="&amp;E41),COUNTIFS(Action_Register!O:O,"Closed",Action_Register!J:J,"Critical",Action_Register!W:W,"&gt;"&amp;P41,Action_Register!W:W,"&lt;="&amp;E41)))</f>
        <v/>
      </c>
    </row>
    <row r="42">
      <c r="A42" t="inlineStr">
        <is>
          <t>OUT-00041</t>
        </is>
      </c>
      <c r="B42">
        <f>'Company_Profile'!B5</f>
        <v/>
      </c>
      <c r="C42">
        <f>'Company_Profile'!B2</f>
        <v/>
      </c>
      <c r="K42">
        <f>IFERROR(I42/H42,"")</f>
        <v/>
      </c>
      <c r="L42">
        <f>IFERROR(OFFSET(K42,-1,0),"")</f>
        <v/>
      </c>
      <c r="M42">
        <f>IF(OR(K42="",L42=""),"",IF(K42&lt;L42,"Improving",IF(K42=L42,"Stable","Adverse")))</f>
        <v/>
      </c>
      <c r="N42">
        <f>COUNTIF(Action_Register!O:O,"Closed")</f>
        <v/>
      </c>
      <c r="O42">
        <f>Summary!B21</f>
        <v/>
      </c>
      <c r="P42">
        <f>IF(E42="","",IFERROR(OFFSET(E42,-1,0),""))</f>
        <v/>
      </c>
      <c r="Q42">
        <f>IF(E42="","",IF(P42="",COUNTIFS(Action_Register!O:O,"Closed",Action_Register!W:W,"&lt;="&amp;E42),COUNTIFS(Action_Register!O:O,"Closed",Action_Register!W:W,"&gt;"&amp;P42,Action_Register!W:W,"&lt;="&amp;E42)))</f>
        <v/>
      </c>
      <c r="R42">
        <f>IF(E42="","",IF(P42="",COUNTIFS(Action_Register!O:O,"Closed",Action_Register!J:J,"Critical",Action_Register!W:W,"&lt;="&amp;E42),COUNTIFS(Action_Register!O:O,"Closed",Action_Register!J:J,"Critical",Action_Register!W:W,"&gt;"&amp;P42,Action_Register!W:W,"&lt;="&amp;E42)))</f>
        <v/>
      </c>
    </row>
    <row r="43">
      <c r="A43" t="inlineStr">
        <is>
          <t>OUT-00042</t>
        </is>
      </c>
      <c r="B43">
        <f>'Company_Profile'!B5</f>
        <v/>
      </c>
      <c r="C43">
        <f>'Company_Profile'!B2</f>
        <v/>
      </c>
      <c r="K43">
        <f>IFERROR(I43/H43,"")</f>
        <v/>
      </c>
      <c r="L43">
        <f>IFERROR(OFFSET(K43,-1,0),"")</f>
        <v/>
      </c>
      <c r="M43">
        <f>IF(OR(K43="",L43=""),"",IF(K43&lt;L43,"Improving",IF(K43=L43,"Stable","Adverse")))</f>
        <v/>
      </c>
      <c r="N43">
        <f>COUNTIF(Action_Register!O:O,"Closed")</f>
        <v/>
      </c>
      <c r="O43">
        <f>Summary!B21</f>
        <v/>
      </c>
      <c r="P43">
        <f>IF(E43="","",IFERROR(OFFSET(E43,-1,0),""))</f>
        <v/>
      </c>
      <c r="Q43">
        <f>IF(E43="","",IF(P43="",COUNTIFS(Action_Register!O:O,"Closed",Action_Register!W:W,"&lt;="&amp;E43),COUNTIFS(Action_Register!O:O,"Closed",Action_Register!W:W,"&gt;"&amp;P43,Action_Register!W:W,"&lt;="&amp;E43)))</f>
        <v/>
      </c>
      <c r="R43">
        <f>IF(E43="","",IF(P43="",COUNTIFS(Action_Register!O:O,"Closed",Action_Register!J:J,"Critical",Action_Register!W:W,"&lt;="&amp;E43),COUNTIFS(Action_Register!O:O,"Closed",Action_Register!J:J,"Critical",Action_Register!W:W,"&gt;"&amp;P43,Action_Register!W:W,"&lt;="&amp;E43)))</f>
        <v/>
      </c>
    </row>
    <row r="44">
      <c r="A44" t="inlineStr">
        <is>
          <t>OUT-00043</t>
        </is>
      </c>
      <c r="B44">
        <f>'Company_Profile'!B5</f>
        <v/>
      </c>
      <c r="C44">
        <f>'Company_Profile'!B2</f>
        <v/>
      </c>
      <c r="K44">
        <f>IFERROR(I44/H44,"")</f>
        <v/>
      </c>
      <c r="L44">
        <f>IFERROR(OFFSET(K44,-1,0),"")</f>
        <v/>
      </c>
      <c r="M44">
        <f>IF(OR(K44="",L44=""),"",IF(K44&lt;L44,"Improving",IF(K44=L44,"Stable","Adverse")))</f>
        <v/>
      </c>
      <c r="N44">
        <f>COUNTIF(Action_Register!O:O,"Closed")</f>
        <v/>
      </c>
      <c r="O44">
        <f>Summary!B21</f>
        <v/>
      </c>
      <c r="P44">
        <f>IF(E44="","",IFERROR(OFFSET(E44,-1,0),""))</f>
        <v/>
      </c>
      <c r="Q44">
        <f>IF(E44="","",IF(P44="",COUNTIFS(Action_Register!O:O,"Closed",Action_Register!W:W,"&lt;="&amp;E44),COUNTIFS(Action_Register!O:O,"Closed",Action_Register!W:W,"&gt;"&amp;P44,Action_Register!W:W,"&lt;="&amp;E44)))</f>
        <v/>
      </c>
      <c r="R44">
        <f>IF(E44="","",IF(P44="",COUNTIFS(Action_Register!O:O,"Closed",Action_Register!J:J,"Critical",Action_Register!W:W,"&lt;="&amp;E44),COUNTIFS(Action_Register!O:O,"Closed",Action_Register!J:J,"Critical",Action_Register!W:W,"&gt;"&amp;P44,Action_Register!W:W,"&lt;="&amp;E44)))</f>
        <v/>
      </c>
    </row>
    <row r="45">
      <c r="A45" t="inlineStr">
        <is>
          <t>OUT-00044</t>
        </is>
      </c>
      <c r="B45">
        <f>'Company_Profile'!B5</f>
        <v/>
      </c>
      <c r="C45">
        <f>'Company_Profile'!B2</f>
        <v/>
      </c>
      <c r="K45">
        <f>IFERROR(I45/H45,"")</f>
        <v/>
      </c>
      <c r="L45">
        <f>IFERROR(OFFSET(K45,-1,0),"")</f>
        <v/>
      </c>
      <c r="M45">
        <f>IF(OR(K45="",L45=""),"",IF(K45&lt;L45,"Improving",IF(K45=L45,"Stable","Adverse")))</f>
        <v/>
      </c>
      <c r="N45">
        <f>COUNTIF(Action_Register!O:O,"Closed")</f>
        <v/>
      </c>
      <c r="O45">
        <f>Summary!B21</f>
        <v/>
      </c>
      <c r="P45">
        <f>IF(E45="","",IFERROR(OFFSET(E45,-1,0),""))</f>
        <v/>
      </c>
      <c r="Q45">
        <f>IF(E45="","",IF(P45="",COUNTIFS(Action_Register!O:O,"Closed",Action_Register!W:W,"&lt;="&amp;E45),COUNTIFS(Action_Register!O:O,"Closed",Action_Register!W:W,"&gt;"&amp;P45,Action_Register!W:W,"&lt;="&amp;E45)))</f>
        <v/>
      </c>
      <c r="R45">
        <f>IF(E45="","",IF(P45="",COUNTIFS(Action_Register!O:O,"Closed",Action_Register!J:J,"Critical",Action_Register!W:W,"&lt;="&amp;E45),COUNTIFS(Action_Register!O:O,"Closed",Action_Register!J:J,"Critical",Action_Register!W:W,"&gt;"&amp;P45,Action_Register!W:W,"&lt;="&amp;E45)))</f>
        <v/>
      </c>
    </row>
    <row r="46">
      <c r="A46" t="inlineStr">
        <is>
          <t>OUT-00045</t>
        </is>
      </c>
      <c r="B46">
        <f>'Company_Profile'!B5</f>
        <v/>
      </c>
      <c r="C46">
        <f>'Company_Profile'!B2</f>
        <v/>
      </c>
      <c r="K46">
        <f>IFERROR(I46/H46,"")</f>
        <v/>
      </c>
      <c r="L46">
        <f>IFERROR(OFFSET(K46,-1,0),"")</f>
        <v/>
      </c>
      <c r="M46">
        <f>IF(OR(K46="",L46=""),"",IF(K46&lt;L46,"Improving",IF(K46=L46,"Stable","Adverse")))</f>
        <v/>
      </c>
      <c r="N46">
        <f>COUNTIF(Action_Register!O:O,"Closed")</f>
        <v/>
      </c>
      <c r="O46">
        <f>Summary!B21</f>
        <v/>
      </c>
      <c r="P46">
        <f>IF(E46="","",IFERROR(OFFSET(E46,-1,0),""))</f>
        <v/>
      </c>
      <c r="Q46">
        <f>IF(E46="","",IF(P46="",COUNTIFS(Action_Register!O:O,"Closed",Action_Register!W:W,"&lt;="&amp;E46),COUNTIFS(Action_Register!O:O,"Closed",Action_Register!W:W,"&gt;"&amp;P46,Action_Register!W:W,"&lt;="&amp;E46)))</f>
        <v/>
      </c>
      <c r="R46">
        <f>IF(E46="","",IF(P46="",COUNTIFS(Action_Register!O:O,"Closed",Action_Register!J:J,"Critical",Action_Register!W:W,"&lt;="&amp;E46),COUNTIFS(Action_Register!O:O,"Closed",Action_Register!J:J,"Critical",Action_Register!W:W,"&gt;"&amp;P46,Action_Register!W:W,"&lt;="&amp;E46)))</f>
        <v/>
      </c>
    </row>
    <row r="47">
      <c r="A47" t="inlineStr">
        <is>
          <t>OUT-00046</t>
        </is>
      </c>
      <c r="B47">
        <f>'Company_Profile'!B5</f>
        <v/>
      </c>
      <c r="C47">
        <f>'Company_Profile'!B2</f>
        <v/>
      </c>
      <c r="K47">
        <f>IFERROR(I47/H47,"")</f>
        <v/>
      </c>
      <c r="L47">
        <f>IFERROR(OFFSET(K47,-1,0),"")</f>
        <v/>
      </c>
      <c r="M47">
        <f>IF(OR(K47="",L47=""),"",IF(K47&lt;L47,"Improving",IF(K47=L47,"Stable","Adverse")))</f>
        <v/>
      </c>
      <c r="N47">
        <f>COUNTIF(Action_Register!O:O,"Closed")</f>
        <v/>
      </c>
      <c r="O47">
        <f>Summary!B21</f>
        <v/>
      </c>
      <c r="P47">
        <f>IF(E47="","",IFERROR(OFFSET(E47,-1,0),""))</f>
        <v/>
      </c>
      <c r="Q47">
        <f>IF(E47="","",IF(P47="",COUNTIFS(Action_Register!O:O,"Closed",Action_Register!W:W,"&lt;="&amp;E47),COUNTIFS(Action_Register!O:O,"Closed",Action_Register!W:W,"&gt;"&amp;P47,Action_Register!W:W,"&lt;="&amp;E47)))</f>
        <v/>
      </c>
      <c r="R47">
        <f>IF(E47="","",IF(P47="",COUNTIFS(Action_Register!O:O,"Closed",Action_Register!J:J,"Critical",Action_Register!W:W,"&lt;="&amp;E47),COUNTIFS(Action_Register!O:O,"Closed",Action_Register!J:J,"Critical",Action_Register!W:W,"&gt;"&amp;P47,Action_Register!W:W,"&lt;="&amp;E47)))</f>
        <v/>
      </c>
    </row>
    <row r="48">
      <c r="A48" t="inlineStr">
        <is>
          <t>OUT-00047</t>
        </is>
      </c>
      <c r="B48">
        <f>'Company_Profile'!B5</f>
        <v/>
      </c>
      <c r="C48">
        <f>'Company_Profile'!B2</f>
        <v/>
      </c>
      <c r="K48">
        <f>IFERROR(I48/H48,"")</f>
        <v/>
      </c>
      <c r="L48">
        <f>IFERROR(OFFSET(K48,-1,0),"")</f>
        <v/>
      </c>
      <c r="M48">
        <f>IF(OR(K48="",L48=""),"",IF(K48&lt;L48,"Improving",IF(K48=L48,"Stable","Adverse")))</f>
        <v/>
      </c>
      <c r="N48">
        <f>COUNTIF(Action_Register!O:O,"Closed")</f>
        <v/>
      </c>
      <c r="O48">
        <f>Summary!B21</f>
        <v/>
      </c>
      <c r="P48">
        <f>IF(E48="","",IFERROR(OFFSET(E48,-1,0),""))</f>
        <v/>
      </c>
      <c r="Q48">
        <f>IF(E48="","",IF(P48="",COUNTIFS(Action_Register!O:O,"Closed",Action_Register!W:W,"&lt;="&amp;E48),COUNTIFS(Action_Register!O:O,"Closed",Action_Register!W:W,"&gt;"&amp;P48,Action_Register!W:W,"&lt;="&amp;E48)))</f>
        <v/>
      </c>
      <c r="R48">
        <f>IF(E48="","",IF(P48="",COUNTIFS(Action_Register!O:O,"Closed",Action_Register!J:J,"Critical",Action_Register!W:W,"&lt;="&amp;E48),COUNTIFS(Action_Register!O:O,"Closed",Action_Register!J:J,"Critical",Action_Register!W:W,"&gt;"&amp;P48,Action_Register!W:W,"&lt;="&amp;E48)))</f>
        <v/>
      </c>
    </row>
    <row r="49">
      <c r="A49" t="inlineStr">
        <is>
          <t>OUT-00048</t>
        </is>
      </c>
      <c r="B49">
        <f>'Company_Profile'!B5</f>
        <v/>
      </c>
      <c r="C49">
        <f>'Company_Profile'!B2</f>
        <v/>
      </c>
      <c r="K49">
        <f>IFERROR(I49/H49,"")</f>
        <v/>
      </c>
      <c r="L49">
        <f>IFERROR(OFFSET(K49,-1,0),"")</f>
        <v/>
      </c>
      <c r="M49">
        <f>IF(OR(K49="",L49=""),"",IF(K49&lt;L49,"Improving",IF(K49=L49,"Stable","Adverse")))</f>
        <v/>
      </c>
      <c r="N49">
        <f>COUNTIF(Action_Register!O:O,"Closed")</f>
        <v/>
      </c>
      <c r="O49">
        <f>Summary!B21</f>
        <v/>
      </c>
      <c r="P49">
        <f>IF(E49="","",IFERROR(OFFSET(E49,-1,0),""))</f>
        <v/>
      </c>
      <c r="Q49">
        <f>IF(E49="","",IF(P49="",COUNTIFS(Action_Register!O:O,"Closed",Action_Register!W:W,"&lt;="&amp;E49),COUNTIFS(Action_Register!O:O,"Closed",Action_Register!W:W,"&gt;"&amp;P49,Action_Register!W:W,"&lt;="&amp;E49)))</f>
        <v/>
      </c>
      <c r="R49">
        <f>IF(E49="","",IF(P49="",COUNTIFS(Action_Register!O:O,"Closed",Action_Register!J:J,"Critical",Action_Register!W:W,"&lt;="&amp;E49),COUNTIFS(Action_Register!O:O,"Closed",Action_Register!J:J,"Critical",Action_Register!W:W,"&gt;"&amp;P49,Action_Register!W:W,"&lt;="&amp;E49)))</f>
        <v/>
      </c>
    </row>
    <row r="50">
      <c r="A50" t="inlineStr">
        <is>
          <t>OUT-00049</t>
        </is>
      </c>
      <c r="B50">
        <f>'Company_Profile'!B5</f>
        <v/>
      </c>
      <c r="C50">
        <f>'Company_Profile'!B2</f>
        <v/>
      </c>
      <c r="K50">
        <f>IFERROR(I50/H50,"")</f>
        <v/>
      </c>
      <c r="L50">
        <f>IFERROR(OFFSET(K50,-1,0),"")</f>
        <v/>
      </c>
      <c r="M50">
        <f>IF(OR(K50="",L50=""),"",IF(K50&lt;L50,"Improving",IF(K50=L50,"Stable","Adverse")))</f>
        <v/>
      </c>
      <c r="N50">
        <f>COUNTIF(Action_Register!O:O,"Closed")</f>
        <v/>
      </c>
      <c r="O50">
        <f>Summary!B21</f>
        <v/>
      </c>
      <c r="P50">
        <f>IF(E50="","",IFERROR(OFFSET(E50,-1,0),""))</f>
        <v/>
      </c>
      <c r="Q50">
        <f>IF(E50="","",IF(P50="",COUNTIFS(Action_Register!O:O,"Closed",Action_Register!W:W,"&lt;="&amp;E50),COUNTIFS(Action_Register!O:O,"Closed",Action_Register!W:W,"&gt;"&amp;P50,Action_Register!W:W,"&lt;="&amp;E50)))</f>
        <v/>
      </c>
      <c r="R50">
        <f>IF(E50="","",IF(P50="",COUNTIFS(Action_Register!O:O,"Closed",Action_Register!J:J,"Critical",Action_Register!W:W,"&lt;="&amp;E50),COUNTIFS(Action_Register!O:O,"Closed",Action_Register!J:J,"Critical",Action_Register!W:W,"&gt;"&amp;P50,Action_Register!W:W,"&lt;="&amp;E50)))</f>
        <v/>
      </c>
    </row>
    <row r="51">
      <c r="A51" t="inlineStr">
        <is>
          <t>OUT-00050</t>
        </is>
      </c>
      <c r="B51">
        <f>'Company_Profile'!B5</f>
        <v/>
      </c>
      <c r="C51">
        <f>'Company_Profile'!B2</f>
        <v/>
      </c>
      <c r="K51">
        <f>IFERROR(I51/H51,"")</f>
        <v/>
      </c>
      <c r="L51">
        <f>IFERROR(OFFSET(K51,-1,0),"")</f>
        <v/>
      </c>
      <c r="M51">
        <f>IF(OR(K51="",L51=""),"",IF(K51&lt;L51,"Improving",IF(K51=L51,"Stable","Adverse")))</f>
        <v/>
      </c>
      <c r="N51">
        <f>COUNTIF(Action_Register!O:O,"Closed")</f>
        <v/>
      </c>
      <c r="O51">
        <f>Summary!B21</f>
        <v/>
      </c>
      <c r="P51">
        <f>IF(E51="","",IFERROR(OFFSET(E51,-1,0),""))</f>
        <v/>
      </c>
      <c r="Q51">
        <f>IF(E51="","",IF(P51="",COUNTIFS(Action_Register!O:O,"Closed",Action_Register!W:W,"&lt;="&amp;E51),COUNTIFS(Action_Register!O:O,"Closed",Action_Register!W:W,"&gt;"&amp;P51,Action_Register!W:W,"&lt;="&amp;E51)))</f>
        <v/>
      </c>
      <c r="R51">
        <f>IF(E51="","",IF(P51="",COUNTIFS(Action_Register!O:O,"Closed",Action_Register!J:J,"Critical",Action_Register!W:W,"&lt;="&amp;E51),COUNTIFS(Action_Register!O:O,"Closed",Action_Register!J:J,"Critical",Action_Register!W:W,"&gt;"&amp;P51,Action_Register!W:W,"&lt;="&amp;E51)))</f>
        <v/>
      </c>
    </row>
    <row r="52">
      <c r="A52" t="inlineStr">
        <is>
          <t>OUT-00051</t>
        </is>
      </c>
      <c r="B52">
        <f>'Company_Profile'!B5</f>
        <v/>
      </c>
      <c r="C52">
        <f>'Company_Profile'!B2</f>
        <v/>
      </c>
      <c r="K52">
        <f>IFERROR(I52/H52,"")</f>
        <v/>
      </c>
      <c r="L52">
        <f>IFERROR(OFFSET(K52,-1,0),"")</f>
        <v/>
      </c>
      <c r="M52">
        <f>IF(OR(K52="",L52=""),"",IF(K52&lt;L52,"Improving",IF(K52=L52,"Stable","Adverse")))</f>
        <v/>
      </c>
      <c r="N52">
        <f>COUNTIF(Action_Register!O:O,"Closed")</f>
        <v/>
      </c>
      <c r="O52">
        <f>Summary!B21</f>
        <v/>
      </c>
      <c r="P52">
        <f>IF(E52="","",IFERROR(OFFSET(E52,-1,0),""))</f>
        <v/>
      </c>
      <c r="Q52">
        <f>IF(E52="","",IF(P52="",COUNTIFS(Action_Register!O:O,"Closed",Action_Register!W:W,"&lt;="&amp;E52),COUNTIFS(Action_Register!O:O,"Closed",Action_Register!W:W,"&gt;"&amp;P52,Action_Register!W:W,"&lt;="&amp;E52)))</f>
        <v/>
      </c>
      <c r="R52">
        <f>IF(E52="","",IF(P52="",COUNTIFS(Action_Register!O:O,"Closed",Action_Register!J:J,"Critical",Action_Register!W:W,"&lt;="&amp;E52),COUNTIFS(Action_Register!O:O,"Closed",Action_Register!J:J,"Critical",Action_Register!W:W,"&gt;"&amp;P52,Action_Register!W:W,"&lt;="&amp;E52)))</f>
        <v/>
      </c>
    </row>
    <row r="53">
      <c r="A53" t="inlineStr">
        <is>
          <t>OUT-00052</t>
        </is>
      </c>
      <c r="B53">
        <f>'Company_Profile'!B5</f>
        <v/>
      </c>
      <c r="C53">
        <f>'Company_Profile'!B2</f>
        <v/>
      </c>
      <c r="K53">
        <f>IFERROR(I53/H53,"")</f>
        <v/>
      </c>
      <c r="L53">
        <f>IFERROR(OFFSET(K53,-1,0),"")</f>
        <v/>
      </c>
      <c r="M53">
        <f>IF(OR(K53="",L53=""),"",IF(K53&lt;L53,"Improving",IF(K53=L53,"Stable","Adverse")))</f>
        <v/>
      </c>
      <c r="N53">
        <f>COUNTIF(Action_Register!O:O,"Closed")</f>
        <v/>
      </c>
      <c r="O53">
        <f>Summary!B21</f>
        <v/>
      </c>
      <c r="P53">
        <f>IF(E53="","",IFERROR(OFFSET(E53,-1,0),""))</f>
        <v/>
      </c>
      <c r="Q53">
        <f>IF(E53="","",IF(P53="",COUNTIFS(Action_Register!O:O,"Closed",Action_Register!W:W,"&lt;="&amp;E53),COUNTIFS(Action_Register!O:O,"Closed",Action_Register!W:W,"&gt;"&amp;P53,Action_Register!W:W,"&lt;="&amp;E53)))</f>
        <v/>
      </c>
      <c r="R53">
        <f>IF(E53="","",IF(P53="",COUNTIFS(Action_Register!O:O,"Closed",Action_Register!J:J,"Critical",Action_Register!W:W,"&lt;="&amp;E53),COUNTIFS(Action_Register!O:O,"Closed",Action_Register!J:J,"Critical",Action_Register!W:W,"&gt;"&amp;P53,Action_Register!W:W,"&lt;="&amp;E53)))</f>
        <v/>
      </c>
    </row>
    <row r="54">
      <c r="A54" t="inlineStr">
        <is>
          <t>OUT-00053</t>
        </is>
      </c>
      <c r="B54">
        <f>'Company_Profile'!B5</f>
        <v/>
      </c>
      <c r="C54">
        <f>'Company_Profile'!B2</f>
        <v/>
      </c>
      <c r="K54">
        <f>IFERROR(I54/H54,"")</f>
        <v/>
      </c>
      <c r="L54">
        <f>IFERROR(OFFSET(K54,-1,0),"")</f>
        <v/>
      </c>
      <c r="M54">
        <f>IF(OR(K54="",L54=""),"",IF(K54&lt;L54,"Improving",IF(K54=L54,"Stable","Adverse")))</f>
        <v/>
      </c>
      <c r="N54">
        <f>COUNTIF(Action_Register!O:O,"Closed")</f>
        <v/>
      </c>
      <c r="O54">
        <f>Summary!B21</f>
        <v/>
      </c>
      <c r="P54">
        <f>IF(E54="","",IFERROR(OFFSET(E54,-1,0),""))</f>
        <v/>
      </c>
      <c r="Q54">
        <f>IF(E54="","",IF(P54="",COUNTIFS(Action_Register!O:O,"Closed",Action_Register!W:W,"&lt;="&amp;E54),COUNTIFS(Action_Register!O:O,"Closed",Action_Register!W:W,"&gt;"&amp;P54,Action_Register!W:W,"&lt;="&amp;E54)))</f>
        <v/>
      </c>
      <c r="R54">
        <f>IF(E54="","",IF(P54="",COUNTIFS(Action_Register!O:O,"Closed",Action_Register!J:J,"Critical",Action_Register!W:W,"&lt;="&amp;E54),COUNTIFS(Action_Register!O:O,"Closed",Action_Register!J:J,"Critical",Action_Register!W:W,"&gt;"&amp;P54,Action_Register!W:W,"&lt;="&amp;E54)))</f>
        <v/>
      </c>
    </row>
    <row r="55">
      <c r="A55" t="inlineStr">
        <is>
          <t>OUT-00054</t>
        </is>
      </c>
      <c r="B55">
        <f>'Company_Profile'!B5</f>
        <v/>
      </c>
      <c r="C55">
        <f>'Company_Profile'!B2</f>
        <v/>
      </c>
      <c r="K55">
        <f>IFERROR(I55/H55,"")</f>
        <v/>
      </c>
      <c r="L55">
        <f>IFERROR(OFFSET(K55,-1,0),"")</f>
        <v/>
      </c>
      <c r="M55">
        <f>IF(OR(K55="",L55=""),"",IF(K55&lt;L55,"Improving",IF(K55=L55,"Stable","Adverse")))</f>
        <v/>
      </c>
      <c r="N55">
        <f>COUNTIF(Action_Register!O:O,"Closed")</f>
        <v/>
      </c>
      <c r="O55">
        <f>Summary!B21</f>
        <v/>
      </c>
      <c r="P55">
        <f>IF(E55="","",IFERROR(OFFSET(E55,-1,0),""))</f>
        <v/>
      </c>
      <c r="Q55">
        <f>IF(E55="","",IF(P55="",COUNTIFS(Action_Register!O:O,"Closed",Action_Register!W:W,"&lt;="&amp;E55),COUNTIFS(Action_Register!O:O,"Closed",Action_Register!W:W,"&gt;"&amp;P55,Action_Register!W:W,"&lt;="&amp;E55)))</f>
        <v/>
      </c>
      <c r="R55">
        <f>IF(E55="","",IF(P55="",COUNTIFS(Action_Register!O:O,"Closed",Action_Register!J:J,"Critical",Action_Register!W:W,"&lt;="&amp;E55),COUNTIFS(Action_Register!O:O,"Closed",Action_Register!J:J,"Critical",Action_Register!W:W,"&gt;"&amp;P55,Action_Register!W:W,"&lt;="&amp;E55)))</f>
        <v/>
      </c>
    </row>
    <row r="56">
      <c r="A56" t="inlineStr">
        <is>
          <t>OUT-00055</t>
        </is>
      </c>
      <c r="B56">
        <f>'Company_Profile'!B5</f>
        <v/>
      </c>
      <c r="C56">
        <f>'Company_Profile'!B2</f>
        <v/>
      </c>
      <c r="K56">
        <f>IFERROR(I56/H56,"")</f>
        <v/>
      </c>
      <c r="L56">
        <f>IFERROR(OFFSET(K56,-1,0),"")</f>
        <v/>
      </c>
      <c r="M56">
        <f>IF(OR(K56="",L56=""),"",IF(K56&lt;L56,"Improving",IF(K56=L56,"Stable","Adverse")))</f>
        <v/>
      </c>
      <c r="N56">
        <f>COUNTIF(Action_Register!O:O,"Closed")</f>
        <v/>
      </c>
      <c r="O56">
        <f>Summary!B21</f>
        <v/>
      </c>
      <c r="P56">
        <f>IF(E56="","",IFERROR(OFFSET(E56,-1,0),""))</f>
        <v/>
      </c>
      <c r="Q56">
        <f>IF(E56="","",IF(P56="",COUNTIFS(Action_Register!O:O,"Closed",Action_Register!W:W,"&lt;="&amp;E56),COUNTIFS(Action_Register!O:O,"Closed",Action_Register!W:W,"&gt;"&amp;P56,Action_Register!W:W,"&lt;="&amp;E56)))</f>
        <v/>
      </c>
      <c r="R56">
        <f>IF(E56="","",IF(P56="",COUNTIFS(Action_Register!O:O,"Closed",Action_Register!J:J,"Critical",Action_Register!W:W,"&lt;="&amp;E56),COUNTIFS(Action_Register!O:O,"Closed",Action_Register!J:J,"Critical",Action_Register!W:W,"&gt;"&amp;P56,Action_Register!W:W,"&lt;="&amp;E56)))</f>
        <v/>
      </c>
    </row>
    <row r="57">
      <c r="A57" t="inlineStr">
        <is>
          <t>OUT-00056</t>
        </is>
      </c>
      <c r="B57">
        <f>'Company_Profile'!B5</f>
        <v/>
      </c>
      <c r="C57">
        <f>'Company_Profile'!B2</f>
        <v/>
      </c>
      <c r="K57">
        <f>IFERROR(I57/H57,"")</f>
        <v/>
      </c>
      <c r="L57">
        <f>IFERROR(OFFSET(K57,-1,0),"")</f>
        <v/>
      </c>
      <c r="M57">
        <f>IF(OR(K57="",L57=""),"",IF(K57&lt;L57,"Improving",IF(K57=L57,"Stable","Adverse")))</f>
        <v/>
      </c>
      <c r="N57">
        <f>COUNTIF(Action_Register!O:O,"Closed")</f>
        <v/>
      </c>
      <c r="O57">
        <f>Summary!B21</f>
        <v/>
      </c>
      <c r="P57">
        <f>IF(E57="","",IFERROR(OFFSET(E57,-1,0),""))</f>
        <v/>
      </c>
      <c r="Q57">
        <f>IF(E57="","",IF(P57="",COUNTIFS(Action_Register!O:O,"Closed",Action_Register!W:W,"&lt;="&amp;E57),COUNTIFS(Action_Register!O:O,"Closed",Action_Register!W:W,"&gt;"&amp;P57,Action_Register!W:W,"&lt;="&amp;E57)))</f>
        <v/>
      </c>
      <c r="R57">
        <f>IF(E57="","",IF(P57="",COUNTIFS(Action_Register!O:O,"Closed",Action_Register!J:J,"Critical",Action_Register!W:W,"&lt;="&amp;E57),COUNTIFS(Action_Register!O:O,"Closed",Action_Register!J:J,"Critical",Action_Register!W:W,"&gt;"&amp;P57,Action_Register!W:W,"&lt;="&amp;E57)))</f>
        <v/>
      </c>
    </row>
    <row r="58">
      <c r="A58" t="inlineStr">
        <is>
          <t>OUT-00057</t>
        </is>
      </c>
      <c r="B58">
        <f>'Company_Profile'!B5</f>
        <v/>
      </c>
      <c r="C58">
        <f>'Company_Profile'!B2</f>
        <v/>
      </c>
      <c r="K58">
        <f>IFERROR(I58/H58,"")</f>
        <v/>
      </c>
      <c r="L58">
        <f>IFERROR(OFFSET(K58,-1,0),"")</f>
        <v/>
      </c>
      <c r="M58">
        <f>IF(OR(K58="",L58=""),"",IF(K58&lt;L58,"Improving",IF(K58=L58,"Stable","Adverse")))</f>
        <v/>
      </c>
      <c r="N58">
        <f>COUNTIF(Action_Register!O:O,"Closed")</f>
        <v/>
      </c>
      <c r="O58">
        <f>Summary!B21</f>
        <v/>
      </c>
      <c r="P58">
        <f>IF(E58="","",IFERROR(OFFSET(E58,-1,0),""))</f>
        <v/>
      </c>
      <c r="Q58">
        <f>IF(E58="","",IF(P58="",COUNTIFS(Action_Register!O:O,"Closed",Action_Register!W:W,"&lt;="&amp;E58),COUNTIFS(Action_Register!O:O,"Closed",Action_Register!W:W,"&gt;"&amp;P58,Action_Register!W:W,"&lt;="&amp;E58)))</f>
        <v/>
      </c>
      <c r="R58">
        <f>IF(E58="","",IF(P58="",COUNTIFS(Action_Register!O:O,"Closed",Action_Register!J:J,"Critical",Action_Register!W:W,"&lt;="&amp;E58),COUNTIFS(Action_Register!O:O,"Closed",Action_Register!J:J,"Critical",Action_Register!W:W,"&gt;"&amp;P58,Action_Register!W:W,"&lt;="&amp;E58)))</f>
        <v/>
      </c>
    </row>
    <row r="59">
      <c r="A59" t="inlineStr">
        <is>
          <t>OUT-00058</t>
        </is>
      </c>
      <c r="B59">
        <f>'Company_Profile'!B5</f>
        <v/>
      </c>
      <c r="C59">
        <f>'Company_Profile'!B2</f>
        <v/>
      </c>
      <c r="K59">
        <f>IFERROR(I59/H59,"")</f>
        <v/>
      </c>
      <c r="L59">
        <f>IFERROR(OFFSET(K59,-1,0),"")</f>
        <v/>
      </c>
      <c r="M59">
        <f>IF(OR(K59="",L59=""),"",IF(K59&lt;L59,"Improving",IF(K59=L59,"Stable","Adverse")))</f>
        <v/>
      </c>
      <c r="N59">
        <f>COUNTIF(Action_Register!O:O,"Closed")</f>
        <v/>
      </c>
      <c r="O59">
        <f>Summary!B21</f>
        <v/>
      </c>
      <c r="P59">
        <f>IF(E59="","",IFERROR(OFFSET(E59,-1,0),""))</f>
        <v/>
      </c>
      <c r="Q59">
        <f>IF(E59="","",IF(P59="",COUNTIFS(Action_Register!O:O,"Closed",Action_Register!W:W,"&lt;="&amp;E59),COUNTIFS(Action_Register!O:O,"Closed",Action_Register!W:W,"&gt;"&amp;P59,Action_Register!W:W,"&lt;="&amp;E59)))</f>
        <v/>
      </c>
      <c r="R59">
        <f>IF(E59="","",IF(P59="",COUNTIFS(Action_Register!O:O,"Closed",Action_Register!J:J,"Critical",Action_Register!W:W,"&lt;="&amp;E59),COUNTIFS(Action_Register!O:O,"Closed",Action_Register!J:J,"Critical",Action_Register!W:W,"&gt;"&amp;P59,Action_Register!W:W,"&lt;="&amp;E59)))</f>
        <v/>
      </c>
    </row>
    <row r="60">
      <c r="A60" t="inlineStr">
        <is>
          <t>OUT-00059</t>
        </is>
      </c>
      <c r="B60">
        <f>'Company_Profile'!B5</f>
        <v/>
      </c>
      <c r="C60">
        <f>'Company_Profile'!B2</f>
        <v/>
      </c>
      <c r="K60">
        <f>IFERROR(I60/H60,"")</f>
        <v/>
      </c>
      <c r="L60">
        <f>IFERROR(OFFSET(K60,-1,0),"")</f>
        <v/>
      </c>
      <c r="M60">
        <f>IF(OR(K60="",L60=""),"",IF(K60&lt;L60,"Improving",IF(K60=L60,"Stable","Adverse")))</f>
        <v/>
      </c>
      <c r="N60">
        <f>COUNTIF(Action_Register!O:O,"Closed")</f>
        <v/>
      </c>
      <c r="O60">
        <f>Summary!B21</f>
        <v/>
      </c>
      <c r="P60">
        <f>IF(E60="","",IFERROR(OFFSET(E60,-1,0),""))</f>
        <v/>
      </c>
      <c r="Q60">
        <f>IF(E60="","",IF(P60="",COUNTIFS(Action_Register!O:O,"Closed",Action_Register!W:W,"&lt;="&amp;E60),COUNTIFS(Action_Register!O:O,"Closed",Action_Register!W:W,"&gt;"&amp;P60,Action_Register!W:W,"&lt;="&amp;E60)))</f>
        <v/>
      </c>
      <c r="R60">
        <f>IF(E60="","",IF(P60="",COUNTIFS(Action_Register!O:O,"Closed",Action_Register!J:J,"Critical",Action_Register!W:W,"&lt;="&amp;E60),COUNTIFS(Action_Register!O:O,"Closed",Action_Register!J:J,"Critical",Action_Register!W:W,"&gt;"&amp;P60,Action_Register!W:W,"&lt;="&amp;E60)))</f>
        <v/>
      </c>
    </row>
    <row r="61">
      <c r="A61" t="inlineStr">
        <is>
          <t>OUT-00060</t>
        </is>
      </c>
      <c r="B61">
        <f>'Company_Profile'!B5</f>
        <v/>
      </c>
      <c r="C61">
        <f>'Company_Profile'!B2</f>
        <v/>
      </c>
      <c r="K61">
        <f>IFERROR(I61/H61,"")</f>
        <v/>
      </c>
      <c r="L61">
        <f>IFERROR(OFFSET(K61,-1,0),"")</f>
        <v/>
      </c>
      <c r="M61">
        <f>IF(OR(K61="",L61=""),"",IF(K61&lt;L61,"Improving",IF(K61=L61,"Stable","Adverse")))</f>
        <v/>
      </c>
      <c r="N61">
        <f>COUNTIF(Action_Register!O:O,"Closed")</f>
        <v/>
      </c>
      <c r="O61">
        <f>Summary!B21</f>
        <v/>
      </c>
      <c r="P61">
        <f>IF(E61="","",IFERROR(OFFSET(E61,-1,0),""))</f>
        <v/>
      </c>
      <c r="Q61">
        <f>IF(E61="","",IF(P61="",COUNTIFS(Action_Register!O:O,"Closed",Action_Register!W:W,"&lt;="&amp;E61),COUNTIFS(Action_Register!O:O,"Closed",Action_Register!W:W,"&gt;"&amp;P61,Action_Register!W:W,"&lt;="&amp;E61)))</f>
        <v/>
      </c>
      <c r="R61">
        <f>IF(E61="","",IF(P61="",COUNTIFS(Action_Register!O:O,"Closed",Action_Register!J:J,"Critical",Action_Register!W:W,"&lt;="&amp;E61),COUNTIFS(Action_Register!O:O,"Closed",Action_Register!J:J,"Critical",Action_Register!W:W,"&gt;"&amp;P61,Action_Register!W:W,"&lt;="&amp;E61)))</f>
        <v/>
      </c>
    </row>
    <row r="62">
      <c r="P62">
        <f>IF(E62="","",IFERROR(OFFSET(E62,-1,0),""))</f>
        <v/>
      </c>
      <c r="Q62">
        <f>IF(E62="","",IF(P62="",COUNTIFS(Action_Register!O:O,"Closed",Action_Register!W:W,"&lt;="&amp;E62),COUNTIFS(Action_Register!O:O,"Closed",Action_Register!W:W,"&gt;"&amp;P62,Action_Register!W:W,"&lt;="&amp;E62)))</f>
        <v/>
      </c>
      <c r="R62">
        <f>IF(E62="","",IF(P62="",COUNTIFS(Action_Register!O:O,"Closed",Action_Register!J:J,"Critical",Action_Register!W:W,"&lt;="&amp;E62),COUNTIFS(Action_Register!O:O,"Closed",Action_Register!J:J,"Critical",Action_Register!W:W,"&gt;"&amp;P62,Action_Register!W:W,"&lt;="&amp;E62)))</f>
        <v/>
      </c>
    </row>
    <row r="63">
      <c r="P63">
        <f>IF(E63="","",IFERROR(OFFSET(E63,-1,0),""))</f>
        <v/>
      </c>
      <c r="Q63">
        <f>IF(E63="","",IF(P63="",COUNTIFS(Action_Register!O:O,"Closed",Action_Register!W:W,"&lt;="&amp;E63),COUNTIFS(Action_Register!O:O,"Closed",Action_Register!W:W,"&gt;"&amp;P63,Action_Register!W:W,"&lt;="&amp;E63)))</f>
        <v/>
      </c>
      <c r="R63">
        <f>IF(E63="","",IF(P63="",COUNTIFS(Action_Register!O:O,"Closed",Action_Register!J:J,"Critical",Action_Register!W:W,"&lt;="&amp;E63),COUNTIFS(Action_Register!O:O,"Closed",Action_Register!J:J,"Critical",Action_Register!W:W,"&gt;"&amp;P63,Action_Register!W:W,"&lt;="&amp;E63)))</f>
        <v/>
      </c>
    </row>
    <row r="64">
      <c r="P64">
        <f>IF(E64="","",IFERROR(OFFSET(E64,-1,0),""))</f>
        <v/>
      </c>
      <c r="Q64">
        <f>IF(E64="","",IF(P64="",COUNTIFS(Action_Register!O:O,"Closed",Action_Register!W:W,"&lt;="&amp;E64),COUNTIFS(Action_Register!O:O,"Closed",Action_Register!W:W,"&gt;"&amp;P64,Action_Register!W:W,"&lt;="&amp;E64)))</f>
        <v/>
      </c>
      <c r="R64">
        <f>IF(E64="","",IF(P64="",COUNTIFS(Action_Register!O:O,"Closed",Action_Register!J:J,"Critical",Action_Register!W:W,"&lt;="&amp;E64),COUNTIFS(Action_Register!O:O,"Closed",Action_Register!J:J,"Critical",Action_Register!W:W,"&gt;"&amp;P64,Action_Register!W:W,"&lt;="&amp;E64)))</f>
        <v/>
      </c>
    </row>
    <row r="65">
      <c r="P65">
        <f>IF(E65="","",IFERROR(OFFSET(E65,-1,0),""))</f>
        <v/>
      </c>
      <c r="Q65">
        <f>IF(E65="","",IF(P65="",COUNTIFS(Action_Register!O:O,"Closed",Action_Register!W:W,"&lt;="&amp;E65),COUNTIFS(Action_Register!O:O,"Closed",Action_Register!W:W,"&gt;"&amp;P65,Action_Register!W:W,"&lt;="&amp;E65)))</f>
        <v/>
      </c>
      <c r="R65">
        <f>IF(E65="","",IF(P65="",COUNTIFS(Action_Register!O:O,"Closed",Action_Register!J:J,"Critical",Action_Register!W:W,"&lt;="&amp;E65),COUNTIFS(Action_Register!O:O,"Closed",Action_Register!J:J,"Critical",Action_Register!W:W,"&gt;"&amp;P65,Action_Register!W:W,"&lt;="&amp;E65)))</f>
        <v/>
      </c>
    </row>
    <row r="66">
      <c r="P66">
        <f>IF(E66="","",IFERROR(OFFSET(E66,-1,0),""))</f>
        <v/>
      </c>
      <c r="Q66">
        <f>IF(E66="","",IF(P66="",COUNTIFS(Action_Register!O:O,"Closed",Action_Register!W:W,"&lt;="&amp;E66),COUNTIFS(Action_Register!O:O,"Closed",Action_Register!W:W,"&gt;"&amp;P66,Action_Register!W:W,"&lt;="&amp;E66)))</f>
        <v/>
      </c>
      <c r="R66">
        <f>IF(E66="","",IF(P66="",COUNTIFS(Action_Register!O:O,"Closed",Action_Register!J:J,"Critical",Action_Register!W:W,"&lt;="&amp;E66),COUNTIFS(Action_Register!O:O,"Closed",Action_Register!J:J,"Critical",Action_Register!W:W,"&gt;"&amp;P66,Action_Register!W:W,"&lt;="&amp;E66)))</f>
        <v/>
      </c>
    </row>
    <row r="67">
      <c r="P67">
        <f>IF(E67="","",IFERROR(OFFSET(E67,-1,0),""))</f>
        <v/>
      </c>
      <c r="Q67">
        <f>IF(E67="","",IF(P67="",COUNTIFS(Action_Register!O:O,"Closed",Action_Register!W:W,"&lt;="&amp;E67),COUNTIFS(Action_Register!O:O,"Closed",Action_Register!W:W,"&gt;"&amp;P67,Action_Register!W:W,"&lt;="&amp;E67)))</f>
        <v/>
      </c>
      <c r="R67">
        <f>IF(E67="","",IF(P67="",COUNTIFS(Action_Register!O:O,"Closed",Action_Register!J:J,"Critical",Action_Register!W:W,"&lt;="&amp;E67),COUNTIFS(Action_Register!O:O,"Closed",Action_Register!J:J,"Critical",Action_Register!W:W,"&gt;"&amp;P67,Action_Register!W:W,"&lt;="&amp;E67)))</f>
        <v/>
      </c>
    </row>
    <row r="68">
      <c r="P68">
        <f>IF(E68="","",IFERROR(OFFSET(E68,-1,0),""))</f>
        <v/>
      </c>
      <c r="Q68">
        <f>IF(E68="","",IF(P68="",COUNTIFS(Action_Register!O:O,"Closed",Action_Register!W:W,"&lt;="&amp;E68),COUNTIFS(Action_Register!O:O,"Closed",Action_Register!W:W,"&gt;"&amp;P68,Action_Register!W:W,"&lt;="&amp;E68)))</f>
        <v/>
      </c>
      <c r="R68">
        <f>IF(E68="","",IF(P68="",COUNTIFS(Action_Register!O:O,"Closed",Action_Register!J:J,"Critical",Action_Register!W:W,"&lt;="&amp;E68),COUNTIFS(Action_Register!O:O,"Closed",Action_Register!J:J,"Critical",Action_Register!W:W,"&gt;"&amp;P68,Action_Register!W:W,"&lt;="&amp;E68)))</f>
        <v/>
      </c>
    </row>
    <row r="69">
      <c r="P69">
        <f>IF(E69="","",IFERROR(OFFSET(E69,-1,0),""))</f>
        <v/>
      </c>
      <c r="Q69">
        <f>IF(E69="","",IF(P69="",COUNTIFS(Action_Register!O:O,"Closed",Action_Register!W:W,"&lt;="&amp;E69),COUNTIFS(Action_Register!O:O,"Closed",Action_Register!W:W,"&gt;"&amp;P69,Action_Register!W:W,"&lt;="&amp;E69)))</f>
        <v/>
      </c>
      <c r="R69">
        <f>IF(E69="","",IF(P69="",COUNTIFS(Action_Register!O:O,"Closed",Action_Register!J:J,"Critical",Action_Register!W:W,"&lt;="&amp;E69),COUNTIFS(Action_Register!O:O,"Closed",Action_Register!J:J,"Critical",Action_Register!W:W,"&gt;"&amp;P69,Action_Register!W:W,"&lt;="&amp;E69)))</f>
        <v/>
      </c>
    </row>
    <row r="70">
      <c r="P70">
        <f>IF(E70="","",IFERROR(OFFSET(E70,-1,0),""))</f>
        <v/>
      </c>
      <c r="Q70">
        <f>IF(E70="","",IF(P70="",COUNTIFS(Action_Register!O:O,"Closed",Action_Register!W:W,"&lt;="&amp;E70),COUNTIFS(Action_Register!O:O,"Closed",Action_Register!W:W,"&gt;"&amp;P70,Action_Register!W:W,"&lt;="&amp;E70)))</f>
        <v/>
      </c>
      <c r="R70">
        <f>IF(E70="","",IF(P70="",COUNTIFS(Action_Register!O:O,"Closed",Action_Register!J:J,"Critical",Action_Register!W:W,"&lt;="&amp;E70),COUNTIFS(Action_Register!O:O,"Closed",Action_Register!J:J,"Critical",Action_Register!W:W,"&gt;"&amp;P70,Action_Register!W:W,"&lt;="&amp;E70)))</f>
        <v/>
      </c>
    </row>
    <row r="71">
      <c r="P71">
        <f>IF(E71="","",IFERROR(OFFSET(E71,-1,0),""))</f>
        <v/>
      </c>
      <c r="Q71">
        <f>IF(E71="","",IF(P71="",COUNTIFS(Action_Register!O:O,"Closed",Action_Register!W:W,"&lt;="&amp;E71),COUNTIFS(Action_Register!O:O,"Closed",Action_Register!W:W,"&gt;"&amp;P71,Action_Register!W:W,"&lt;="&amp;E71)))</f>
        <v/>
      </c>
      <c r="R71">
        <f>IF(E71="","",IF(P71="",COUNTIFS(Action_Register!O:O,"Closed",Action_Register!J:J,"Critical",Action_Register!W:W,"&lt;="&amp;E71),COUNTIFS(Action_Register!O:O,"Closed",Action_Register!J:J,"Critical",Action_Register!W:W,"&gt;"&amp;P71,Action_Register!W:W,"&lt;="&amp;E71)))</f>
        <v/>
      </c>
    </row>
    <row r="72">
      <c r="P72">
        <f>IF(E72="","",IFERROR(OFFSET(E72,-1,0),""))</f>
        <v/>
      </c>
      <c r="Q72">
        <f>IF(E72="","",IF(P72="",COUNTIFS(Action_Register!O:O,"Closed",Action_Register!W:W,"&lt;="&amp;E72),COUNTIFS(Action_Register!O:O,"Closed",Action_Register!W:W,"&gt;"&amp;P72,Action_Register!W:W,"&lt;="&amp;E72)))</f>
        <v/>
      </c>
      <c r="R72">
        <f>IF(E72="","",IF(P72="",COUNTIFS(Action_Register!O:O,"Closed",Action_Register!J:J,"Critical",Action_Register!W:W,"&lt;="&amp;E72),COUNTIFS(Action_Register!O:O,"Closed",Action_Register!J:J,"Critical",Action_Register!W:W,"&gt;"&amp;P72,Action_Register!W:W,"&lt;="&amp;E72)))</f>
        <v/>
      </c>
    </row>
    <row r="73">
      <c r="P73">
        <f>IF(E73="","",IFERROR(OFFSET(E73,-1,0),""))</f>
        <v/>
      </c>
      <c r="Q73">
        <f>IF(E73="","",IF(P73="",COUNTIFS(Action_Register!O:O,"Closed",Action_Register!W:W,"&lt;="&amp;E73),COUNTIFS(Action_Register!O:O,"Closed",Action_Register!W:W,"&gt;"&amp;P73,Action_Register!W:W,"&lt;="&amp;E73)))</f>
        <v/>
      </c>
      <c r="R73">
        <f>IF(E73="","",IF(P73="",COUNTIFS(Action_Register!O:O,"Closed",Action_Register!J:J,"Critical",Action_Register!W:W,"&lt;="&amp;E73),COUNTIFS(Action_Register!O:O,"Closed",Action_Register!J:J,"Critical",Action_Register!W:W,"&gt;"&amp;P73,Action_Register!W:W,"&lt;="&amp;E73)))</f>
        <v/>
      </c>
    </row>
    <row r="74">
      <c r="P74">
        <f>IF(E74="","",IFERROR(OFFSET(E74,-1,0),""))</f>
        <v/>
      </c>
      <c r="Q74">
        <f>IF(E74="","",IF(P74="",COUNTIFS(Action_Register!O:O,"Closed",Action_Register!W:W,"&lt;="&amp;E74),COUNTIFS(Action_Register!O:O,"Closed",Action_Register!W:W,"&gt;"&amp;P74,Action_Register!W:W,"&lt;="&amp;E74)))</f>
        <v/>
      </c>
      <c r="R74">
        <f>IF(E74="","",IF(P74="",COUNTIFS(Action_Register!O:O,"Closed",Action_Register!J:J,"Critical",Action_Register!W:W,"&lt;="&amp;E74),COUNTIFS(Action_Register!O:O,"Closed",Action_Register!J:J,"Critical",Action_Register!W:W,"&gt;"&amp;P74,Action_Register!W:W,"&lt;="&amp;E74)))</f>
        <v/>
      </c>
    </row>
    <row r="75">
      <c r="P75">
        <f>IF(E75="","",IFERROR(OFFSET(E75,-1,0),""))</f>
        <v/>
      </c>
      <c r="Q75">
        <f>IF(E75="","",IF(P75="",COUNTIFS(Action_Register!O:O,"Closed",Action_Register!W:W,"&lt;="&amp;E75),COUNTIFS(Action_Register!O:O,"Closed",Action_Register!W:W,"&gt;"&amp;P75,Action_Register!W:W,"&lt;="&amp;E75)))</f>
        <v/>
      </c>
      <c r="R75">
        <f>IF(E75="","",IF(P75="",COUNTIFS(Action_Register!O:O,"Closed",Action_Register!J:J,"Critical",Action_Register!W:W,"&lt;="&amp;E75),COUNTIFS(Action_Register!O:O,"Closed",Action_Register!J:J,"Critical",Action_Register!W:W,"&gt;"&amp;P75,Action_Register!W:W,"&lt;="&amp;E75)))</f>
        <v/>
      </c>
    </row>
    <row r="76">
      <c r="P76">
        <f>IF(E76="","",IFERROR(OFFSET(E76,-1,0),""))</f>
        <v/>
      </c>
      <c r="Q76">
        <f>IF(E76="","",IF(P76="",COUNTIFS(Action_Register!O:O,"Closed",Action_Register!W:W,"&lt;="&amp;E76),COUNTIFS(Action_Register!O:O,"Closed",Action_Register!W:W,"&gt;"&amp;P76,Action_Register!W:W,"&lt;="&amp;E76)))</f>
        <v/>
      </c>
      <c r="R76">
        <f>IF(E76="","",IF(P76="",COUNTIFS(Action_Register!O:O,"Closed",Action_Register!J:J,"Critical",Action_Register!W:W,"&lt;="&amp;E76),COUNTIFS(Action_Register!O:O,"Closed",Action_Register!J:J,"Critical",Action_Register!W:W,"&gt;"&amp;P76,Action_Register!W:W,"&lt;="&amp;E76)))</f>
        <v/>
      </c>
    </row>
    <row r="77">
      <c r="P77">
        <f>IF(E77="","",IFERROR(OFFSET(E77,-1,0),""))</f>
        <v/>
      </c>
      <c r="Q77">
        <f>IF(E77="","",IF(P77="",COUNTIFS(Action_Register!O:O,"Closed",Action_Register!W:W,"&lt;="&amp;E77),COUNTIFS(Action_Register!O:O,"Closed",Action_Register!W:W,"&gt;"&amp;P77,Action_Register!W:W,"&lt;="&amp;E77)))</f>
        <v/>
      </c>
      <c r="R77">
        <f>IF(E77="","",IF(P77="",COUNTIFS(Action_Register!O:O,"Closed",Action_Register!J:J,"Critical",Action_Register!W:W,"&lt;="&amp;E77),COUNTIFS(Action_Register!O:O,"Closed",Action_Register!J:J,"Critical",Action_Register!W:W,"&gt;"&amp;P77,Action_Register!W:W,"&lt;="&amp;E77)))</f>
        <v/>
      </c>
    </row>
    <row r="78">
      <c r="P78">
        <f>IF(E78="","",IFERROR(OFFSET(E78,-1,0),""))</f>
        <v/>
      </c>
      <c r="Q78">
        <f>IF(E78="","",IF(P78="",COUNTIFS(Action_Register!O:O,"Closed",Action_Register!W:W,"&lt;="&amp;E78),COUNTIFS(Action_Register!O:O,"Closed",Action_Register!W:W,"&gt;"&amp;P78,Action_Register!W:W,"&lt;="&amp;E78)))</f>
        <v/>
      </c>
      <c r="R78">
        <f>IF(E78="","",IF(P78="",COUNTIFS(Action_Register!O:O,"Closed",Action_Register!J:J,"Critical",Action_Register!W:W,"&lt;="&amp;E78),COUNTIFS(Action_Register!O:O,"Closed",Action_Register!J:J,"Critical",Action_Register!W:W,"&gt;"&amp;P78,Action_Register!W:W,"&lt;="&amp;E78)))</f>
        <v/>
      </c>
    </row>
    <row r="79">
      <c r="P79">
        <f>IF(E79="","",IFERROR(OFFSET(E79,-1,0),""))</f>
        <v/>
      </c>
      <c r="Q79">
        <f>IF(E79="","",IF(P79="",COUNTIFS(Action_Register!O:O,"Closed",Action_Register!W:W,"&lt;="&amp;E79),COUNTIFS(Action_Register!O:O,"Closed",Action_Register!W:W,"&gt;"&amp;P79,Action_Register!W:W,"&lt;="&amp;E79)))</f>
        <v/>
      </c>
      <c r="R79">
        <f>IF(E79="","",IF(P79="",COUNTIFS(Action_Register!O:O,"Closed",Action_Register!J:J,"Critical",Action_Register!W:W,"&lt;="&amp;E79),COUNTIFS(Action_Register!O:O,"Closed",Action_Register!J:J,"Critical",Action_Register!W:W,"&gt;"&amp;P79,Action_Register!W:W,"&lt;="&amp;E79)))</f>
        <v/>
      </c>
    </row>
    <row r="80">
      <c r="P80">
        <f>IF(E80="","",IFERROR(OFFSET(E80,-1,0),""))</f>
        <v/>
      </c>
      <c r="Q80">
        <f>IF(E80="","",IF(P80="",COUNTIFS(Action_Register!O:O,"Closed",Action_Register!W:W,"&lt;="&amp;E80),COUNTIFS(Action_Register!O:O,"Closed",Action_Register!W:W,"&gt;"&amp;P80,Action_Register!W:W,"&lt;="&amp;E80)))</f>
        <v/>
      </c>
      <c r="R80">
        <f>IF(E80="","",IF(P80="",COUNTIFS(Action_Register!O:O,"Closed",Action_Register!J:J,"Critical",Action_Register!W:W,"&lt;="&amp;E80),COUNTIFS(Action_Register!O:O,"Closed",Action_Register!J:J,"Critical",Action_Register!W:W,"&gt;"&amp;P80,Action_Register!W:W,"&lt;="&amp;E80)))</f>
        <v/>
      </c>
    </row>
    <row r="81">
      <c r="P81">
        <f>IF(E81="","",IFERROR(OFFSET(E81,-1,0),""))</f>
        <v/>
      </c>
      <c r="Q81">
        <f>IF(E81="","",IF(P81="",COUNTIFS(Action_Register!O:O,"Closed",Action_Register!W:W,"&lt;="&amp;E81),COUNTIFS(Action_Register!O:O,"Closed",Action_Register!W:W,"&gt;"&amp;P81,Action_Register!W:W,"&lt;="&amp;E81)))</f>
        <v/>
      </c>
      <c r="R81">
        <f>IF(E81="","",IF(P81="",COUNTIFS(Action_Register!O:O,"Closed",Action_Register!J:J,"Critical",Action_Register!W:W,"&lt;="&amp;E81),COUNTIFS(Action_Register!O:O,"Closed",Action_Register!J:J,"Critical",Action_Register!W:W,"&gt;"&amp;P81,Action_Register!W:W,"&lt;="&amp;E81)))</f>
        <v/>
      </c>
    </row>
    <row r="82">
      <c r="P82">
        <f>IF(E82="","",IFERROR(OFFSET(E82,-1,0),""))</f>
        <v/>
      </c>
      <c r="Q82">
        <f>IF(E82="","",IF(P82="",COUNTIFS(Action_Register!O:O,"Closed",Action_Register!W:W,"&lt;="&amp;E82),COUNTIFS(Action_Register!O:O,"Closed",Action_Register!W:W,"&gt;"&amp;P82,Action_Register!W:W,"&lt;="&amp;E82)))</f>
        <v/>
      </c>
      <c r="R82">
        <f>IF(E82="","",IF(P82="",COUNTIFS(Action_Register!O:O,"Closed",Action_Register!J:J,"Critical",Action_Register!W:W,"&lt;="&amp;E82),COUNTIFS(Action_Register!O:O,"Closed",Action_Register!J:J,"Critical",Action_Register!W:W,"&gt;"&amp;P82,Action_Register!W:W,"&lt;="&amp;E82)))</f>
        <v/>
      </c>
    </row>
    <row r="83">
      <c r="P83">
        <f>IF(E83="","",IFERROR(OFFSET(E83,-1,0),""))</f>
        <v/>
      </c>
      <c r="Q83">
        <f>IF(E83="","",IF(P83="",COUNTIFS(Action_Register!O:O,"Closed",Action_Register!W:W,"&lt;="&amp;E83),COUNTIFS(Action_Register!O:O,"Closed",Action_Register!W:W,"&gt;"&amp;P83,Action_Register!W:W,"&lt;="&amp;E83)))</f>
        <v/>
      </c>
      <c r="R83">
        <f>IF(E83="","",IF(P83="",COUNTIFS(Action_Register!O:O,"Closed",Action_Register!J:J,"Critical",Action_Register!W:W,"&lt;="&amp;E83),COUNTIFS(Action_Register!O:O,"Closed",Action_Register!J:J,"Critical",Action_Register!W:W,"&gt;"&amp;P83,Action_Register!W:W,"&lt;="&amp;E83)))</f>
        <v/>
      </c>
    </row>
    <row r="84">
      <c r="P84">
        <f>IF(E84="","",IFERROR(OFFSET(E84,-1,0),""))</f>
        <v/>
      </c>
      <c r="Q84">
        <f>IF(E84="","",IF(P84="",COUNTIFS(Action_Register!O:O,"Closed",Action_Register!W:W,"&lt;="&amp;E84),COUNTIFS(Action_Register!O:O,"Closed",Action_Register!W:W,"&gt;"&amp;P84,Action_Register!W:W,"&lt;="&amp;E84)))</f>
        <v/>
      </c>
      <c r="R84">
        <f>IF(E84="","",IF(P84="",COUNTIFS(Action_Register!O:O,"Closed",Action_Register!J:J,"Critical",Action_Register!W:W,"&lt;="&amp;E84),COUNTIFS(Action_Register!O:O,"Closed",Action_Register!J:J,"Critical",Action_Register!W:W,"&gt;"&amp;P84,Action_Register!W:W,"&lt;="&amp;E84)))</f>
        <v/>
      </c>
    </row>
    <row r="85">
      <c r="P85">
        <f>IF(E85="","",IFERROR(OFFSET(E85,-1,0),""))</f>
        <v/>
      </c>
      <c r="Q85">
        <f>IF(E85="","",IF(P85="",COUNTIFS(Action_Register!O:O,"Closed",Action_Register!W:W,"&lt;="&amp;E85),COUNTIFS(Action_Register!O:O,"Closed",Action_Register!W:W,"&gt;"&amp;P85,Action_Register!W:W,"&lt;="&amp;E85)))</f>
        <v/>
      </c>
      <c r="R85">
        <f>IF(E85="","",IF(P85="",COUNTIFS(Action_Register!O:O,"Closed",Action_Register!J:J,"Critical",Action_Register!W:W,"&lt;="&amp;E85),COUNTIFS(Action_Register!O:O,"Closed",Action_Register!J:J,"Critical",Action_Register!W:W,"&gt;"&amp;P85,Action_Register!W:W,"&lt;="&amp;E85)))</f>
        <v/>
      </c>
    </row>
    <row r="86">
      <c r="P86">
        <f>IF(E86="","",IFERROR(OFFSET(E86,-1,0),""))</f>
        <v/>
      </c>
      <c r="Q86">
        <f>IF(E86="","",IF(P86="",COUNTIFS(Action_Register!O:O,"Closed",Action_Register!W:W,"&lt;="&amp;E86),COUNTIFS(Action_Register!O:O,"Closed",Action_Register!W:W,"&gt;"&amp;P86,Action_Register!W:W,"&lt;="&amp;E86)))</f>
        <v/>
      </c>
      <c r="R86">
        <f>IF(E86="","",IF(P86="",COUNTIFS(Action_Register!O:O,"Closed",Action_Register!J:J,"Critical",Action_Register!W:W,"&lt;="&amp;E86),COUNTIFS(Action_Register!O:O,"Closed",Action_Register!J:J,"Critical",Action_Register!W:W,"&gt;"&amp;P86,Action_Register!W:W,"&lt;="&amp;E86)))</f>
        <v/>
      </c>
    </row>
    <row r="87">
      <c r="P87">
        <f>IF(E87="","",IFERROR(OFFSET(E87,-1,0),""))</f>
        <v/>
      </c>
      <c r="Q87">
        <f>IF(E87="","",IF(P87="",COUNTIFS(Action_Register!O:O,"Closed",Action_Register!W:W,"&lt;="&amp;E87),COUNTIFS(Action_Register!O:O,"Closed",Action_Register!W:W,"&gt;"&amp;P87,Action_Register!W:W,"&lt;="&amp;E87)))</f>
        <v/>
      </c>
      <c r="R87">
        <f>IF(E87="","",IF(P87="",COUNTIFS(Action_Register!O:O,"Closed",Action_Register!J:J,"Critical",Action_Register!W:W,"&lt;="&amp;E87),COUNTIFS(Action_Register!O:O,"Closed",Action_Register!J:J,"Critical",Action_Register!W:W,"&gt;"&amp;P87,Action_Register!W:W,"&lt;="&amp;E87)))</f>
        <v/>
      </c>
    </row>
    <row r="88">
      <c r="P88">
        <f>IF(E88="","",IFERROR(OFFSET(E88,-1,0),""))</f>
        <v/>
      </c>
      <c r="Q88">
        <f>IF(E88="","",IF(P88="",COUNTIFS(Action_Register!O:O,"Closed",Action_Register!W:W,"&lt;="&amp;E88),COUNTIFS(Action_Register!O:O,"Closed",Action_Register!W:W,"&gt;"&amp;P88,Action_Register!W:W,"&lt;="&amp;E88)))</f>
        <v/>
      </c>
      <c r="R88">
        <f>IF(E88="","",IF(P88="",COUNTIFS(Action_Register!O:O,"Closed",Action_Register!J:J,"Critical",Action_Register!W:W,"&lt;="&amp;E88),COUNTIFS(Action_Register!O:O,"Closed",Action_Register!J:J,"Critical",Action_Register!W:W,"&gt;"&amp;P88,Action_Register!W:W,"&lt;="&amp;E88)))</f>
        <v/>
      </c>
    </row>
    <row r="89">
      <c r="P89">
        <f>IF(E89="","",IFERROR(OFFSET(E89,-1,0),""))</f>
        <v/>
      </c>
      <c r="Q89">
        <f>IF(E89="","",IF(P89="",COUNTIFS(Action_Register!O:O,"Closed",Action_Register!W:W,"&lt;="&amp;E89),COUNTIFS(Action_Register!O:O,"Closed",Action_Register!W:W,"&gt;"&amp;P89,Action_Register!W:W,"&lt;="&amp;E89)))</f>
        <v/>
      </c>
      <c r="R89">
        <f>IF(E89="","",IF(P89="",COUNTIFS(Action_Register!O:O,"Closed",Action_Register!J:J,"Critical",Action_Register!W:W,"&lt;="&amp;E89),COUNTIFS(Action_Register!O:O,"Closed",Action_Register!J:J,"Critical",Action_Register!W:W,"&gt;"&amp;P89,Action_Register!W:W,"&lt;="&amp;E89)))</f>
        <v/>
      </c>
    </row>
    <row r="90">
      <c r="P90">
        <f>IF(E90="","",IFERROR(OFFSET(E90,-1,0),""))</f>
        <v/>
      </c>
      <c r="Q90">
        <f>IF(E90="","",IF(P90="",COUNTIFS(Action_Register!O:O,"Closed",Action_Register!W:W,"&lt;="&amp;E90),COUNTIFS(Action_Register!O:O,"Closed",Action_Register!W:W,"&gt;"&amp;P90,Action_Register!W:W,"&lt;="&amp;E90)))</f>
        <v/>
      </c>
      <c r="R90">
        <f>IF(E90="","",IF(P90="",COUNTIFS(Action_Register!O:O,"Closed",Action_Register!J:J,"Critical",Action_Register!W:W,"&lt;="&amp;E90),COUNTIFS(Action_Register!O:O,"Closed",Action_Register!J:J,"Critical",Action_Register!W:W,"&gt;"&amp;P90,Action_Register!W:W,"&lt;="&amp;E90)))</f>
        <v/>
      </c>
    </row>
    <row r="91">
      <c r="P91">
        <f>IF(E91="","",IFERROR(OFFSET(E91,-1,0),""))</f>
        <v/>
      </c>
      <c r="Q91">
        <f>IF(E91="","",IF(P91="",COUNTIFS(Action_Register!O:O,"Closed",Action_Register!W:W,"&lt;="&amp;E91),COUNTIFS(Action_Register!O:O,"Closed",Action_Register!W:W,"&gt;"&amp;P91,Action_Register!W:W,"&lt;="&amp;E91)))</f>
        <v/>
      </c>
      <c r="R91">
        <f>IF(E91="","",IF(P91="",COUNTIFS(Action_Register!O:O,"Closed",Action_Register!J:J,"Critical",Action_Register!W:W,"&lt;="&amp;E91),COUNTIFS(Action_Register!O:O,"Closed",Action_Register!J:J,"Critical",Action_Register!W:W,"&gt;"&amp;P91,Action_Register!W:W,"&lt;="&amp;E91)))</f>
        <v/>
      </c>
    </row>
    <row r="92">
      <c r="P92">
        <f>IF(E92="","",IFERROR(OFFSET(E92,-1,0),""))</f>
        <v/>
      </c>
      <c r="Q92">
        <f>IF(E92="","",IF(P92="",COUNTIFS(Action_Register!O:O,"Closed",Action_Register!W:W,"&lt;="&amp;E92),COUNTIFS(Action_Register!O:O,"Closed",Action_Register!W:W,"&gt;"&amp;P92,Action_Register!W:W,"&lt;="&amp;E92)))</f>
        <v/>
      </c>
      <c r="R92">
        <f>IF(E92="","",IF(P92="",COUNTIFS(Action_Register!O:O,"Closed",Action_Register!J:J,"Critical",Action_Register!W:W,"&lt;="&amp;E92),COUNTIFS(Action_Register!O:O,"Closed",Action_Register!J:J,"Critical",Action_Register!W:W,"&gt;"&amp;P92,Action_Register!W:W,"&lt;="&amp;E92)))</f>
        <v/>
      </c>
    </row>
    <row r="93">
      <c r="P93">
        <f>IF(E93="","",IFERROR(OFFSET(E93,-1,0),""))</f>
        <v/>
      </c>
      <c r="Q93">
        <f>IF(E93="","",IF(P93="",COUNTIFS(Action_Register!O:O,"Closed",Action_Register!W:W,"&lt;="&amp;E93),COUNTIFS(Action_Register!O:O,"Closed",Action_Register!W:W,"&gt;"&amp;P93,Action_Register!W:W,"&lt;="&amp;E93)))</f>
        <v/>
      </c>
      <c r="R93">
        <f>IF(E93="","",IF(P93="",COUNTIFS(Action_Register!O:O,"Closed",Action_Register!J:J,"Critical",Action_Register!W:W,"&lt;="&amp;E93),COUNTIFS(Action_Register!O:O,"Closed",Action_Register!J:J,"Critical",Action_Register!W:W,"&gt;"&amp;P93,Action_Register!W:W,"&lt;="&amp;E93)))</f>
        <v/>
      </c>
    </row>
    <row r="94">
      <c r="P94">
        <f>IF(E94="","",IFERROR(OFFSET(E94,-1,0),""))</f>
        <v/>
      </c>
      <c r="Q94">
        <f>IF(E94="","",IF(P94="",COUNTIFS(Action_Register!O:O,"Closed",Action_Register!W:W,"&lt;="&amp;E94),COUNTIFS(Action_Register!O:O,"Closed",Action_Register!W:W,"&gt;"&amp;P94,Action_Register!W:W,"&lt;="&amp;E94)))</f>
        <v/>
      </c>
      <c r="R94">
        <f>IF(E94="","",IF(P94="",COUNTIFS(Action_Register!O:O,"Closed",Action_Register!J:J,"Critical",Action_Register!W:W,"&lt;="&amp;E94),COUNTIFS(Action_Register!O:O,"Closed",Action_Register!J:J,"Critical",Action_Register!W:W,"&gt;"&amp;P94,Action_Register!W:W,"&lt;="&amp;E94)))</f>
        <v/>
      </c>
    </row>
    <row r="95">
      <c r="P95">
        <f>IF(E95="","",IFERROR(OFFSET(E95,-1,0),""))</f>
        <v/>
      </c>
      <c r="Q95">
        <f>IF(E95="","",IF(P95="",COUNTIFS(Action_Register!O:O,"Closed",Action_Register!W:W,"&lt;="&amp;E95),COUNTIFS(Action_Register!O:O,"Closed",Action_Register!W:W,"&gt;"&amp;P95,Action_Register!W:W,"&lt;="&amp;E95)))</f>
        <v/>
      </c>
      <c r="R95">
        <f>IF(E95="","",IF(P95="",COUNTIFS(Action_Register!O:O,"Closed",Action_Register!J:J,"Critical",Action_Register!W:W,"&lt;="&amp;E95),COUNTIFS(Action_Register!O:O,"Closed",Action_Register!J:J,"Critical",Action_Register!W:W,"&gt;"&amp;P95,Action_Register!W:W,"&lt;="&amp;E95)))</f>
        <v/>
      </c>
    </row>
    <row r="96">
      <c r="P96">
        <f>IF(E96="","",IFERROR(OFFSET(E96,-1,0),""))</f>
        <v/>
      </c>
      <c r="Q96">
        <f>IF(E96="","",IF(P96="",COUNTIFS(Action_Register!O:O,"Closed",Action_Register!W:W,"&lt;="&amp;E96),COUNTIFS(Action_Register!O:O,"Closed",Action_Register!W:W,"&gt;"&amp;P96,Action_Register!W:W,"&lt;="&amp;E96)))</f>
        <v/>
      </c>
      <c r="R96">
        <f>IF(E96="","",IF(P96="",COUNTIFS(Action_Register!O:O,"Closed",Action_Register!J:J,"Critical",Action_Register!W:W,"&lt;="&amp;E96),COUNTIFS(Action_Register!O:O,"Closed",Action_Register!J:J,"Critical",Action_Register!W:W,"&gt;"&amp;P96,Action_Register!W:W,"&lt;="&amp;E96)))</f>
        <v/>
      </c>
    </row>
    <row r="97">
      <c r="P97">
        <f>IF(E97="","",IFERROR(OFFSET(E97,-1,0),""))</f>
        <v/>
      </c>
      <c r="Q97">
        <f>IF(E97="","",IF(P97="",COUNTIFS(Action_Register!O:O,"Closed",Action_Register!W:W,"&lt;="&amp;E97),COUNTIFS(Action_Register!O:O,"Closed",Action_Register!W:W,"&gt;"&amp;P97,Action_Register!W:W,"&lt;="&amp;E97)))</f>
        <v/>
      </c>
      <c r="R97">
        <f>IF(E97="","",IF(P97="",COUNTIFS(Action_Register!O:O,"Closed",Action_Register!J:J,"Critical",Action_Register!W:W,"&lt;="&amp;E97),COUNTIFS(Action_Register!O:O,"Closed",Action_Register!J:J,"Critical",Action_Register!W:W,"&gt;"&amp;P97,Action_Register!W:W,"&lt;="&amp;E97)))</f>
        <v/>
      </c>
    </row>
    <row r="98">
      <c r="P98">
        <f>IF(E98="","",IFERROR(OFFSET(E98,-1,0),""))</f>
        <v/>
      </c>
      <c r="Q98">
        <f>IF(E98="","",IF(P98="",COUNTIFS(Action_Register!O:O,"Closed",Action_Register!W:W,"&lt;="&amp;E98),COUNTIFS(Action_Register!O:O,"Closed",Action_Register!W:W,"&gt;"&amp;P98,Action_Register!W:W,"&lt;="&amp;E98)))</f>
        <v/>
      </c>
      <c r="R98">
        <f>IF(E98="","",IF(P98="",COUNTIFS(Action_Register!O:O,"Closed",Action_Register!J:J,"Critical",Action_Register!W:W,"&lt;="&amp;E98),COUNTIFS(Action_Register!O:O,"Closed",Action_Register!J:J,"Critical",Action_Register!W:W,"&gt;"&amp;P98,Action_Register!W:W,"&lt;="&amp;E98)))</f>
        <v/>
      </c>
    </row>
    <row r="99">
      <c r="P99">
        <f>IF(E99="","",IFERROR(OFFSET(E99,-1,0),""))</f>
        <v/>
      </c>
      <c r="Q99">
        <f>IF(E99="","",IF(P99="",COUNTIFS(Action_Register!O:O,"Closed",Action_Register!W:W,"&lt;="&amp;E99),COUNTIFS(Action_Register!O:O,"Closed",Action_Register!W:W,"&gt;"&amp;P99,Action_Register!W:W,"&lt;="&amp;E99)))</f>
        <v/>
      </c>
      <c r="R99">
        <f>IF(E99="","",IF(P99="",COUNTIFS(Action_Register!O:O,"Closed",Action_Register!J:J,"Critical",Action_Register!W:W,"&lt;="&amp;E99),COUNTIFS(Action_Register!O:O,"Closed",Action_Register!J:J,"Critical",Action_Register!W:W,"&gt;"&amp;P99,Action_Register!W:W,"&lt;="&amp;E99)))</f>
        <v/>
      </c>
    </row>
    <row r="100">
      <c r="P100">
        <f>IF(E100="","",IFERROR(OFFSET(E100,-1,0),""))</f>
        <v/>
      </c>
      <c r="Q100">
        <f>IF(E100="","",IF(P100="",COUNTIFS(Action_Register!O:O,"Closed",Action_Register!W:W,"&lt;="&amp;E100),COUNTIFS(Action_Register!O:O,"Closed",Action_Register!W:W,"&gt;"&amp;P100,Action_Register!W:W,"&lt;="&amp;E100)))</f>
        <v/>
      </c>
      <c r="R100">
        <f>IF(E100="","",IF(P100="",COUNTIFS(Action_Register!O:O,"Closed",Action_Register!J:J,"Critical",Action_Register!W:W,"&lt;="&amp;E100),COUNTIFS(Action_Register!O:O,"Closed",Action_Register!J:J,"Critical",Action_Register!W:W,"&gt;"&amp;P100,Action_Register!W:W,"&lt;="&amp;E100)))</f>
        <v/>
      </c>
    </row>
    <row r="101">
      <c r="P101">
        <f>IF(E101="","",IFERROR(OFFSET(E101,-1,0),""))</f>
        <v/>
      </c>
      <c r="Q101">
        <f>IF(E101="","",IF(P101="",COUNTIFS(Action_Register!O:O,"Closed",Action_Register!W:W,"&lt;="&amp;E101),COUNTIFS(Action_Register!O:O,"Closed",Action_Register!W:W,"&gt;"&amp;P101,Action_Register!W:W,"&lt;="&amp;E101)))</f>
        <v/>
      </c>
      <c r="R101">
        <f>IF(E101="","",IF(P101="",COUNTIFS(Action_Register!O:O,"Closed",Action_Register!J:J,"Critical",Action_Register!W:W,"&lt;="&amp;E101),COUNTIFS(Action_Register!O:O,"Closed",Action_Register!J:J,"Critical",Action_Register!W:W,"&gt;"&amp;P101,Action_Register!W:W,"&lt;="&amp;E101)))</f>
        <v/>
      </c>
    </row>
    <row r="102">
      <c r="P102">
        <f>IF(E102="","",IFERROR(OFFSET(E102,-1,0),""))</f>
        <v/>
      </c>
      <c r="Q102">
        <f>IF(E102="","",IF(P102="",COUNTIFS(Action_Register!O:O,"Closed",Action_Register!W:W,"&lt;="&amp;E102),COUNTIFS(Action_Register!O:O,"Closed",Action_Register!W:W,"&gt;"&amp;P102,Action_Register!W:W,"&lt;="&amp;E102)))</f>
        <v/>
      </c>
      <c r="R102">
        <f>IF(E102="","",IF(P102="",COUNTIFS(Action_Register!O:O,"Closed",Action_Register!J:J,"Critical",Action_Register!W:W,"&lt;="&amp;E102),COUNTIFS(Action_Register!O:O,"Closed",Action_Register!J:J,"Critical",Action_Register!W:W,"&gt;"&amp;P102,Action_Register!W:W,"&lt;="&amp;E102)))</f>
        <v/>
      </c>
    </row>
    <row r="103">
      <c r="P103">
        <f>IF(E103="","",IFERROR(OFFSET(E103,-1,0),""))</f>
        <v/>
      </c>
      <c r="Q103">
        <f>IF(E103="","",IF(P103="",COUNTIFS(Action_Register!O:O,"Closed",Action_Register!W:W,"&lt;="&amp;E103),COUNTIFS(Action_Register!O:O,"Closed",Action_Register!W:W,"&gt;"&amp;P103,Action_Register!W:W,"&lt;="&amp;E103)))</f>
        <v/>
      </c>
      <c r="R103">
        <f>IF(E103="","",IF(P103="",COUNTIFS(Action_Register!O:O,"Closed",Action_Register!J:J,"Critical",Action_Register!W:W,"&lt;="&amp;E103),COUNTIFS(Action_Register!O:O,"Closed",Action_Register!J:J,"Critical",Action_Register!W:W,"&gt;"&amp;P103,Action_Register!W:W,"&lt;="&amp;E103)))</f>
        <v/>
      </c>
    </row>
    <row r="104">
      <c r="P104">
        <f>IF(E104="","",IFERROR(OFFSET(E104,-1,0),""))</f>
        <v/>
      </c>
      <c r="Q104">
        <f>IF(E104="","",IF(P104="",COUNTIFS(Action_Register!O:O,"Closed",Action_Register!W:W,"&lt;="&amp;E104),COUNTIFS(Action_Register!O:O,"Closed",Action_Register!W:W,"&gt;"&amp;P104,Action_Register!W:W,"&lt;="&amp;E104)))</f>
        <v/>
      </c>
      <c r="R104">
        <f>IF(E104="","",IF(P104="",COUNTIFS(Action_Register!O:O,"Closed",Action_Register!J:J,"Critical",Action_Register!W:W,"&lt;="&amp;E104),COUNTIFS(Action_Register!O:O,"Closed",Action_Register!J:J,"Critical",Action_Register!W:W,"&gt;"&amp;P104,Action_Register!W:W,"&lt;="&amp;E104)))</f>
        <v/>
      </c>
    </row>
    <row r="105">
      <c r="P105">
        <f>IF(E105="","",IFERROR(OFFSET(E105,-1,0),""))</f>
        <v/>
      </c>
      <c r="Q105">
        <f>IF(E105="","",IF(P105="",COUNTIFS(Action_Register!O:O,"Closed",Action_Register!W:W,"&lt;="&amp;E105),COUNTIFS(Action_Register!O:O,"Closed",Action_Register!W:W,"&gt;"&amp;P105,Action_Register!W:W,"&lt;="&amp;E105)))</f>
        <v/>
      </c>
      <c r="R105">
        <f>IF(E105="","",IF(P105="",COUNTIFS(Action_Register!O:O,"Closed",Action_Register!J:J,"Critical",Action_Register!W:W,"&lt;="&amp;E105),COUNTIFS(Action_Register!O:O,"Closed",Action_Register!J:J,"Critical",Action_Register!W:W,"&gt;"&amp;P105,Action_Register!W:W,"&lt;="&amp;E105)))</f>
        <v/>
      </c>
    </row>
    <row r="106">
      <c r="P106">
        <f>IF(E106="","",IFERROR(OFFSET(E106,-1,0),""))</f>
        <v/>
      </c>
      <c r="Q106">
        <f>IF(E106="","",IF(P106="",COUNTIFS(Action_Register!O:O,"Closed",Action_Register!W:W,"&lt;="&amp;E106),COUNTIFS(Action_Register!O:O,"Closed",Action_Register!W:W,"&gt;"&amp;P106,Action_Register!W:W,"&lt;="&amp;E106)))</f>
        <v/>
      </c>
      <c r="R106">
        <f>IF(E106="","",IF(P106="",COUNTIFS(Action_Register!O:O,"Closed",Action_Register!J:J,"Critical",Action_Register!W:W,"&lt;="&amp;E106),COUNTIFS(Action_Register!O:O,"Closed",Action_Register!J:J,"Critical",Action_Register!W:W,"&gt;"&amp;P106,Action_Register!W:W,"&lt;="&amp;E106)))</f>
        <v/>
      </c>
    </row>
    <row r="107">
      <c r="P107">
        <f>IF(E107="","",IFERROR(OFFSET(E107,-1,0),""))</f>
        <v/>
      </c>
      <c r="Q107">
        <f>IF(E107="","",IF(P107="",COUNTIFS(Action_Register!O:O,"Closed",Action_Register!W:W,"&lt;="&amp;E107),COUNTIFS(Action_Register!O:O,"Closed",Action_Register!W:W,"&gt;"&amp;P107,Action_Register!W:W,"&lt;="&amp;E107)))</f>
        <v/>
      </c>
      <c r="R107">
        <f>IF(E107="","",IF(P107="",COUNTIFS(Action_Register!O:O,"Closed",Action_Register!J:J,"Critical",Action_Register!W:W,"&lt;="&amp;E107),COUNTIFS(Action_Register!O:O,"Closed",Action_Register!J:J,"Critical",Action_Register!W:W,"&gt;"&amp;P107,Action_Register!W:W,"&lt;="&amp;E107)))</f>
        <v/>
      </c>
    </row>
    <row r="108">
      <c r="P108">
        <f>IF(E108="","",IFERROR(OFFSET(E108,-1,0),""))</f>
        <v/>
      </c>
      <c r="Q108">
        <f>IF(E108="","",IF(P108="",COUNTIFS(Action_Register!O:O,"Closed",Action_Register!W:W,"&lt;="&amp;E108),COUNTIFS(Action_Register!O:O,"Closed",Action_Register!W:W,"&gt;"&amp;P108,Action_Register!W:W,"&lt;="&amp;E108)))</f>
        <v/>
      </c>
      <c r="R108">
        <f>IF(E108="","",IF(P108="",COUNTIFS(Action_Register!O:O,"Closed",Action_Register!J:J,"Critical",Action_Register!W:W,"&lt;="&amp;E108),COUNTIFS(Action_Register!O:O,"Closed",Action_Register!J:J,"Critical",Action_Register!W:W,"&gt;"&amp;P108,Action_Register!W:W,"&lt;="&amp;E108)))</f>
        <v/>
      </c>
    </row>
    <row r="109">
      <c r="P109">
        <f>IF(E109="","",IFERROR(OFFSET(E109,-1,0),""))</f>
        <v/>
      </c>
      <c r="Q109">
        <f>IF(E109="","",IF(P109="",COUNTIFS(Action_Register!O:O,"Closed",Action_Register!W:W,"&lt;="&amp;E109),COUNTIFS(Action_Register!O:O,"Closed",Action_Register!W:W,"&gt;"&amp;P109,Action_Register!W:W,"&lt;="&amp;E109)))</f>
        <v/>
      </c>
      <c r="R109">
        <f>IF(E109="","",IF(P109="",COUNTIFS(Action_Register!O:O,"Closed",Action_Register!J:J,"Critical",Action_Register!W:W,"&lt;="&amp;E109),COUNTIFS(Action_Register!O:O,"Closed",Action_Register!J:J,"Critical",Action_Register!W:W,"&gt;"&amp;P109,Action_Register!W:W,"&lt;="&amp;E109)))</f>
        <v/>
      </c>
    </row>
    <row r="110">
      <c r="P110">
        <f>IF(E110="","",IFERROR(OFFSET(E110,-1,0),""))</f>
        <v/>
      </c>
      <c r="Q110">
        <f>IF(E110="","",IF(P110="",COUNTIFS(Action_Register!O:O,"Closed",Action_Register!W:W,"&lt;="&amp;E110),COUNTIFS(Action_Register!O:O,"Closed",Action_Register!W:W,"&gt;"&amp;P110,Action_Register!W:W,"&lt;="&amp;E110)))</f>
        <v/>
      </c>
      <c r="R110">
        <f>IF(E110="","",IF(P110="",COUNTIFS(Action_Register!O:O,"Closed",Action_Register!J:J,"Critical",Action_Register!W:W,"&lt;="&amp;E110),COUNTIFS(Action_Register!O:O,"Closed",Action_Register!J:J,"Critical",Action_Register!W:W,"&gt;"&amp;P110,Action_Register!W:W,"&lt;="&amp;E110)))</f>
        <v/>
      </c>
    </row>
    <row r="111">
      <c r="P111">
        <f>IF(E111="","",IFERROR(OFFSET(E111,-1,0),""))</f>
        <v/>
      </c>
      <c r="Q111">
        <f>IF(E111="","",IF(P111="",COUNTIFS(Action_Register!O:O,"Closed",Action_Register!W:W,"&lt;="&amp;E111),COUNTIFS(Action_Register!O:O,"Closed",Action_Register!W:W,"&gt;"&amp;P111,Action_Register!W:W,"&lt;="&amp;E111)))</f>
        <v/>
      </c>
      <c r="R111">
        <f>IF(E111="","",IF(P111="",COUNTIFS(Action_Register!O:O,"Closed",Action_Register!J:J,"Critical",Action_Register!W:W,"&lt;="&amp;E111),COUNTIFS(Action_Register!O:O,"Closed",Action_Register!J:J,"Critical",Action_Register!W:W,"&gt;"&amp;P111,Action_Register!W:W,"&lt;="&amp;E111)))</f>
        <v/>
      </c>
    </row>
    <row r="112">
      <c r="P112">
        <f>IF(E112="","",IFERROR(OFFSET(E112,-1,0),""))</f>
        <v/>
      </c>
      <c r="Q112">
        <f>IF(E112="","",IF(P112="",COUNTIFS(Action_Register!O:O,"Closed",Action_Register!W:W,"&lt;="&amp;E112),COUNTIFS(Action_Register!O:O,"Closed",Action_Register!W:W,"&gt;"&amp;P112,Action_Register!W:W,"&lt;="&amp;E112)))</f>
        <v/>
      </c>
      <c r="R112">
        <f>IF(E112="","",IF(P112="",COUNTIFS(Action_Register!O:O,"Closed",Action_Register!J:J,"Critical",Action_Register!W:W,"&lt;="&amp;E112),COUNTIFS(Action_Register!O:O,"Closed",Action_Register!J:J,"Critical",Action_Register!W:W,"&gt;"&amp;P112,Action_Register!W:W,"&lt;="&amp;E112)))</f>
        <v/>
      </c>
    </row>
    <row r="113">
      <c r="P113">
        <f>IF(E113="","",IFERROR(OFFSET(E113,-1,0),""))</f>
        <v/>
      </c>
      <c r="Q113">
        <f>IF(E113="","",IF(P113="",COUNTIFS(Action_Register!O:O,"Closed",Action_Register!W:W,"&lt;="&amp;E113),COUNTIFS(Action_Register!O:O,"Closed",Action_Register!W:W,"&gt;"&amp;P113,Action_Register!W:W,"&lt;="&amp;E113)))</f>
        <v/>
      </c>
      <c r="R113">
        <f>IF(E113="","",IF(P113="",COUNTIFS(Action_Register!O:O,"Closed",Action_Register!J:J,"Critical",Action_Register!W:W,"&lt;="&amp;E113),COUNTIFS(Action_Register!O:O,"Closed",Action_Register!J:J,"Critical",Action_Register!W:W,"&gt;"&amp;P113,Action_Register!W:W,"&lt;="&amp;E113)))</f>
        <v/>
      </c>
    </row>
    <row r="114">
      <c r="P114">
        <f>IF(E114="","",IFERROR(OFFSET(E114,-1,0),""))</f>
        <v/>
      </c>
      <c r="Q114">
        <f>IF(E114="","",IF(P114="",COUNTIFS(Action_Register!O:O,"Closed",Action_Register!W:W,"&lt;="&amp;E114),COUNTIFS(Action_Register!O:O,"Closed",Action_Register!W:W,"&gt;"&amp;P114,Action_Register!W:W,"&lt;="&amp;E114)))</f>
        <v/>
      </c>
      <c r="R114">
        <f>IF(E114="","",IF(P114="",COUNTIFS(Action_Register!O:O,"Closed",Action_Register!J:J,"Critical",Action_Register!W:W,"&lt;="&amp;E114),COUNTIFS(Action_Register!O:O,"Closed",Action_Register!J:J,"Critical",Action_Register!W:W,"&gt;"&amp;P114,Action_Register!W:W,"&lt;="&amp;E114)))</f>
        <v/>
      </c>
    </row>
    <row r="115">
      <c r="P115">
        <f>IF(E115="","",IFERROR(OFFSET(E115,-1,0),""))</f>
        <v/>
      </c>
      <c r="Q115">
        <f>IF(E115="","",IF(P115="",COUNTIFS(Action_Register!O:O,"Closed",Action_Register!W:W,"&lt;="&amp;E115),COUNTIFS(Action_Register!O:O,"Closed",Action_Register!W:W,"&gt;"&amp;P115,Action_Register!W:W,"&lt;="&amp;E115)))</f>
        <v/>
      </c>
      <c r="R115">
        <f>IF(E115="","",IF(P115="",COUNTIFS(Action_Register!O:O,"Closed",Action_Register!J:J,"Critical",Action_Register!W:W,"&lt;="&amp;E115),COUNTIFS(Action_Register!O:O,"Closed",Action_Register!J:J,"Critical",Action_Register!W:W,"&gt;"&amp;P115,Action_Register!W:W,"&lt;="&amp;E115)))</f>
        <v/>
      </c>
    </row>
    <row r="116">
      <c r="P116">
        <f>IF(E116="","",IFERROR(OFFSET(E116,-1,0),""))</f>
        <v/>
      </c>
      <c r="Q116">
        <f>IF(E116="","",IF(P116="",COUNTIFS(Action_Register!O:O,"Closed",Action_Register!W:W,"&lt;="&amp;E116),COUNTIFS(Action_Register!O:O,"Closed",Action_Register!W:W,"&gt;"&amp;P116,Action_Register!W:W,"&lt;="&amp;E116)))</f>
        <v/>
      </c>
      <c r="R116">
        <f>IF(E116="","",IF(P116="",COUNTIFS(Action_Register!O:O,"Closed",Action_Register!J:J,"Critical",Action_Register!W:W,"&lt;="&amp;E116),COUNTIFS(Action_Register!O:O,"Closed",Action_Register!J:J,"Critical",Action_Register!W:W,"&gt;"&amp;P116,Action_Register!W:W,"&lt;="&amp;E116)))</f>
        <v/>
      </c>
    </row>
    <row r="117">
      <c r="P117">
        <f>IF(E117="","",IFERROR(OFFSET(E117,-1,0),""))</f>
        <v/>
      </c>
      <c r="Q117">
        <f>IF(E117="","",IF(P117="",COUNTIFS(Action_Register!O:O,"Closed",Action_Register!W:W,"&lt;="&amp;E117),COUNTIFS(Action_Register!O:O,"Closed",Action_Register!W:W,"&gt;"&amp;P117,Action_Register!W:W,"&lt;="&amp;E117)))</f>
        <v/>
      </c>
      <c r="R117">
        <f>IF(E117="","",IF(P117="",COUNTIFS(Action_Register!O:O,"Closed",Action_Register!J:J,"Critical",Action_Register!W:W,"&lt;="&amp;E117),COUNTIFS(Action_Register!O:O,"Closed",Action_Register!J:J,"Critical",Action_Register!W:W,"&gt;"&amp;P117,Action_Register!W:W,"&lt;="&amp;E117)))</f>
        <v/>
      </c>
    </row>
    <row r="118">
      <c r="P118">
        <f>IF(E118="","",IFERROR(OFFSET(E118,-1,0),""))</f>
        <v/>
      </c>
      <c r="Q118">
        <f>IF(E118="","",IF(P118="",COUNTIFS(Action_Register!O:O,"Closed",Action_Register!W:W,"&lt;="&amp;E118),COUNTIFS(Action_Register!O:O,"Closed",Action_Register!W:W,"&gt;"&amp;P118,Action_Register!W:W,"&lt;="&amp;E118)))</f>
        <v/>
      </c>
      <c r="R118">
        <f>IF(E118="","",IF(P118="",COUNTIFS(Action_Register!O:O,"Closed",Action_Register!J:J,"Critical",Action_Register!W:W,"&lt;="&amp;E118),COUNTIFS(Action_Register!O:O,"Closed",Action_Register!J:J,"Critical",Action_Register!W:W,"&gt;"&amp;P118,Action_Register!W:W,"&lt;="&amp;E118)))</f>
        <v/>
      </c>
    </row>
    <row r="119">
      <c r="P119">
        <f>IF(E119="","",IFERROR(OFFSET(E119,-1,0),""))</f>
        <v/>
      </c>
      <c r="Q119">
        <f>IF(E119="","",IF(P119="",COUNTIFS(Action_Register!O:O,"Closed",Action_Register!W:W,"&lt;="&amp;E119),COUNTIFS(Action_Register!O:O,"Closed",Action_Register!W:W,"&gt;"&amp;P119,Action_Register!W:W,"&lt;="&amp;E119)))</f>
        <v/>
      </c>
      <c r="R119">
        <f>IF(E119="","",IF(P119="",COUNTIFS(Action_Register!O:O,"Closed",Action_Register!J:J,"Critical",Action_Register!W:W,"&lt;="&amp;E119),COUNTIFS(Action_Register!O:O,"Closed",Action_Register!J:J,"Critical",Action_Register!W:W,"&gt;"&amp;P119,Action_Register!W:W,"&lt;="&amp;E119)))</f>
        <v/>
      </c>
    </row>
    <row r="120">
      <c r="P120">
        <f>IF(E120="","",IFERROR(OFFSET(E120,-1,0),""))</f>
        <v/>
      </c>
      <c r="Q120">
        <f>IF(E120="","",IF(P120="",COUNTIFS(Action_Register!O:O,"Closed",Action_Register!W:W,"&lt;="&amp;E120),COUNTIFS(Action_Register!O:O,"Closed",Action_Register!W:W,"&gt;"&amp;P120,Action_Register!W:W,"&lt;="&amp;E120)))</f>
        <v/>
      </c>
      <c r="R120">
        <f>IF(E120="","",IF(P120="",COUNTIFS(Action_Register!O:O,"Closed",Action_Register!J:J,"Critical",Action_Register!W:W,"&lt;="&amp;E120),COUNTIFS(Action_Register!O:O,"Closed",Action_Register!J:J,"Critical",Action_Register!W:W,"&gt;"&amp;P120,Action_Register!W:W,"&lt;="&amp;E120)))</f>
        <v/>
      </c>
    </row>
    <row r="121">
      <c r="P121">
        <f>IF(E121="","",IFERROR(OFFSET(E121,-1,0),""))</f>
        <v/>
      </c>
      <c r="Q121">
        <f>IF(E121="","",IF(P121="",COUNTIFS(Action_Register!O:O,"Closed",Action_Register!W:W,"&lt;="&amp;E121),COUNTIFS(Action_Register!O:O,"Closed",Action_Register!W:W,"&gt;"&amp;P121,Action_Register!W:W,"&lt;="&amp;E121)))</f>
        <v/>
      </c>
      <c r="R121">
        <f>IF(E121="","",IF(P121="",COUNTIFS(Action_Register!O:O,"Closed",Action_Register!J:J,"Critical",Action_Register!W:W,"&lt;="&amp;E121),COUNTIFS(Action_Register!O:O,"Closed",Action_Register!J:J,"Critical",Action_Register!W:W,"&gt;"&amp;P121,Action_Register!W:W,"&lt;="&amp;E121)))</f>
        <v/>
      </c>
    </row>
    <row r="122">
      <c r="P122">
        <f>IF(E122="","",IFERROR(OFFSET(E122,-1,0),""))</f>
        <v/>
      </c>
      <c r="Q122">
        <f>IF(E122="","",IF(P122="",COUNTIFS(Action_Register!O:O,"Closed",Action_Register!W:W,"&lt;="&amp;E122),COUNTIFS(Action_Register!O:O,"Closed",Action_Register!W:W,"&gt;"&amp;P122,Action_Register!W:W,"&lt;="&amp;E122)))</f>
        <v/>
      </c>
      <c r="R122">
        <f>IF(E122="","",IF(P122="",COUNTIFS(Action_Register!O:O,"Closed",Action_Register!J:J,"Critical",Action_Register!W:W,"&lt;="&amp;E122),COUNTIFS(Action_Register!O:O,"Closed",Action_Register!J:J,"Critical",Action_Register!W:W,"&gt;"&amp;P122,Action_Register!W:W,"&lt;="&amp;E122)))</f>
        <v/>
      </c>
    </row>
    <row r="123">
      <c r="P123">
        <f>IF(E123="","",IFERROR(OFFSET(E123,-1,0),""))</f>
        <v/>
      </c>
      <c r="Q123">
        <f>IF(E123="","",IF(P123="",COUNTIFS(Action_Register!O:O,"Closed",Action_Register!W:W,"&lt;="&amp;E123),COUNTIFS(Action_Register!O:O,"Closed",Action_Register!W:W,"&gt;"&amp;P123,Action_Register!W:W,"&lt;="&amp;E123)))</f>
        <v/>
      </c>
      <c r="R123">
        <f>IF(E123="","",IF(P123="",COUNTIFS(Action_Register!O:O,"Closed",Action_Register!J:J,"Critical",Action_Register!W:W,"&lt;="&amp;E123),COUNTIFS(Action_Register!O:O,"Closed",Action_Register!J:J,"Critical",Action_Register!W:W,"&gt;"&amp;P123,Action_Register!W:W,"&lt;="&amp;E123)))</f>
        <v/>
      </c>
    </row>
    <row r="124">
      <c r="P124">
        <f>IF(E124="","",IFERROR(OFFSET(E124,-1,0),""))</f>
        <v/>
      </c>
      <c r="Q124">
        <f>IF(E124="","",IF(P124="",COUNTIFS(Action_Register!O:O,"Closed",Action_Register!W:W,"&lt;="&amp;E124),COUNTIFS(Action_Register!O:O,"Closed",Action_Register!W:W,"&gt;"&amp;P124,Action_Register!W:W,"&lt;="&amp;E124)))</f>
        <v/>
      </c>
      <c r="R124">
        <f>IF(E124="","",IF(P124="",COUNTIFS(Action_Register!O:O,"Closed",Action_Register!J:J,"Critical",Action_Register!W:W,"&lt;="&amp;E124),COUNTIFS(Action_Register!O:O,"Closed",Action_Register!J:J,"Critical",Action_Register!W:W,"&gt;"&amp;P124,Action_Register!W:W,"&lt;="&amp;E124)))</f>
        <v/>
      </c>
    </row>
    <row r="125">
      <c r="P125">
        <f>IF(E125="","",IFERROR(OFFSET(E125,-1,0),""))</f>
        <v/>
      </c>
      <c r="Q125">
        <f>IF(E125="","",IF(P125="",COUNTIFS(Action_Register!O:O,"Closed",Action_Register!W:W,"&lt;="&amp;E125),COUNTIFS(Action_Register!O:O,"Closed",Action_Register!W:W,"&gt;"&amp;P125,Action_Register!W:W,"&lt;="&amp;E125)))</f>
        <v/>
      </c>
      <c r="R125">
        <f>IF(E125="","",IF(P125="",COUNTIFS(Action_Register!O:O,"Closed",Action_Register!J:J,"Critical",Action_Register!W:W,"&lt;="&amp;E125),COUNTIFS(Action_Register!O:O,"Closed",Action_Register!J:J,"Critical",Action_Register!W:W,"&gt;"&amp;P125,Action_Register!W:W,"&lt;="&amp;E125)))</f>
        <v/>
      </c>
    </row>
    <row r="126">
      <c r="P126">
        <f>IF(E126="","",IFERROR(OFFSET(E126,-1,0),""))</f>
        <v/>
      </c>
      <c r="Q126">
        <f>IF(E126="","",IF(P126="",COUNTIFS(Action_Register!O:O,"Closed",Action_Register!W:W,"&lt;="&amp;E126),COUNTIFS(Action_Register!O:O,"Closed",Action_Register!W:W,"&gt;"&amp;P126,Action_Register!W:W,"&lt;="&amp;E126)))</f>
        <v/>
      </c>
      <c r="R126">
        <f>IF(E126="","",IF(P126="",COUNTIFS(Action_Register!O:O,"Closed",Action_Register!J:J,"Critical",Action_Register!W:W,"&lt;="&amp;E126),COUNTIFS(Action_Register!O:O,"Closed",Action_Register!J:J,"Critical",Action_Register!W:W,"&gt;"&amp;P126,Action_Register!W:W,"&lt;="&amp;E126)))</f>
        <v/>
      </c>
    </row>
    <row r="127">
      <c r="P127">
        <f>IF(E127="","",IFERROR(OFFSET(E127,-1,0),""))</f>
        <v/>
      </c>
      <c r="Q127">
        <f>IF(E127="","",IF(P127="",COUNTIFS(Action_Register!O:O,"Closed",Action_Register!W:W,"&lt;="&amp;E127),COUNTIFS(Action_Register!O:O,"Closed",Action_Register!W:W,"&gt;"&amp;P127,Action_Register!W:W,"&lt;="&amp;E127)))</f>
        <v/>
      </c>
      <c r="R127">
        <f>IF(E127="","",IF(P127="",COUNTIFS(Action_Register!O:O,"Closed",Action_Register!J:J,"Critical",Action_Register!W:W,"&lt;="&amp;E127),COUNTIFS(Action_Register!O:O,"Closed",Action_Register!J:J,"Critical",Action_Register!W:W,"&gt;"&amp;P127,Action_Register!W:W,"&lt;="&amp;E127)))</f>
        <v/>
      </c>
    </row>
    <row r="128">
      <c r="P128">
        <f>IF(E128="","",IFERROR(OFFSET(E128,-1,0),""))</f>
        <v/>
      </c>
      <c r="Q128">
        <f>IF(E128="","",IF(P128="",COUNTIFS(Action_Register!O:O,"Closed",Action_Register!W:W,"&lt;="&amp;E128),COUNTIFS(Action_Register!O:O,"Closed",Action_Register!W:W,"&gt;"&amp;P128,Action_Register!W:W,"&lt;="&amp;E128)))</f>
        <v/>
      </c>
      <c r="R128">
        <f>IF(E128="","",IF(P128="",COUNTIFS(Action_Register!O:O,"Closed",Action_Register!J:J,"Critical",Action_Register!W:W,"&lt;="&amp;E128),COUNTIFS(Action_Register!O:O,"Closed",Action_Register!J:J,"Critical",Action_Register!W:W,"&gt;"&amp;P128,Action_Register!W:W,"&lt;="&amp;E128)))</f>
        <v/>
      </c>
    </row>
    <row r="129">
      <c r="P129">
        <f>IF(E129="","",IFERROR(OFFSET(E129,-1,0),""))</f>
        <v/>
      </c>
      <c r="Q129">
        <f>IF(E129="","",IF(P129="",COUNTIFS(Action_Register!O:O,"Closed",Action_Register!W:W,"&lt;="&amp;E129),COUNTIFS(Action_Register!O:O,"Closed",Action_Register!W:W,"&gt;"&amp;P129,Action_Register!W:W,"&lt;="&amp;E129)))</f>
        <v/>
      </c>
      <c r="R129">
        <f>IF(E129="","",IF(P129="",COUNTIFS(Action_Register!O:O,"Closed",Action_Register!J:J,"Critical",Action_Register!W:W,"&lt;="&amp;E129),COUNTIFS(Action_Register!O:O,"Closed",Action_Register!J:J,"Critical",Action_Register!W:W,"&gt;"&amp;P129,Action_Register!W:W,"&lt;="&amp;E129)))</f>
        <v/>
      </c>
    </row>
    <row r="130">
      <c r="P130">
        <f>IF(E130="","",IFERROR(OFFSET(E130,-1,0),""))</f>
        <v/>
      </c>
      <c r="Q130">
        <f>IF(E130="","",IF(P130="",COUNTIFS(Action_Register!O:O,"Closed",Action_Register!W:W,"&lt;="&amp;E130),COUNTIFS(Action_Register!O:O,"Closed",Action_Register!W:W,"&gt;"&amp;P130,Action_Register!W:W,"&lt;="&amp;E130)))</f>
        <v/>
      </c>
      <c r="R130">
        <f>IF(E130="","",IF(P130="",COUNTIFS(Action_Register!O:O,"Closed",Action_Register!J:J,"Critical",Action_Register!W:W,"&lt;="&amp;E130),COUNTIFS(Action_Register!O:O,"Closed",Action_Register!J:J,"Critical",Action_Register!W:W,"&gt;"&amp;P130,Action_Register!W:W,"&lt;="&amp;E130)))</f>
        <v/>
      </c>
    </row>
    <row r="131">
      <c r="P131">
        <f>IF(E131="","",IFERROR(OFFSET(E131,-1,0),""))</f>
        <v/>
      </c>
      <c r="Q131">
        <f>IF(E131="","",IF(P131="",COUNTIFS(Action_Register!O:O,"Closed",Action_Register!W:W,"&lt;="&amp;E131),COUNTIFS(Action_Register!O:O,"Closed",Action_Register!W:W,"&gt;"&amp;P131,Action_Register!W:W,"&lt;="&amp;E131)))</f>
        <v/>
      </c>
      <c r="R131">
        <f>IF(E131="","",IF(P131="",COUNTIFS(Action_Register!O:O,"Closed",Action_Register!J:J,"Critical",Action_Register!W:W,"&lt;="&amp;E131),COUNTIFS(Action_Register!O:O,"Closed",Action_Register!J:J,"Critical",Action_Register!W:W,"&gt;"&amp;P131,Action_Register!W:W,"&lt;="&amp;E131)))</f>
        <v/>
      </c>
    </row>
    <row r="132">
      <c r="P132">
        <f>IF(E132="","",IFERROR(OFFSET(E132,-1,0),""))</f>
        <v/>
      </c>
      <c r="Q132">
        <f>IF(E132="","",IF(P132="",COUNTIFS(Action_Register!O:O,"Closed",Action_Register!W:W,"&lt;="&amp;E132),COUNTIFS(Action_Register!O:O,"Closed",Action_Register!W:W,"&gt;"&amp;P132,Action_Register!W:W,"&lt;="&amp;E132)))</f>
        <v/>
      </c>
      <c r="R132">
        <f>IF(E132="","",IF(P132="",COUNTIFS(Action_Register!O:O,"Closed",Action_Register!J:J,"Critical",Action_Register!W:W,"&lt;="&amp;E132),COUNTIFS(Action_Register!O:O,"Closed",Action_Register!J:J,"Critical",Action_Register!W:W,"&gt;"&amp;P132,Action_Register!W:W,"&lt;="&amp;E132)))</f>
        <v/>
      </c>
    </row>
    <row r="133">
      <c r="P133">
        <f>IF(E133="","",IFERROR(OFFSET(E133,-1,0),""))</f>
        <v/>
      </c>
      <c r="Q133">
        <f>IF(E133="","",IF(P133="",COUNTIFS(Action_Register!O:O,"Closed",Action_Register!W:W,"&lt;="&amp;E133),COUNTIFS(Action_Register!O:O,"Closed",Action_Register!W:W,"&gt;"&amp;P133,Action_Register!W:W,"&lt;="&amp;E133)))</f>
        <v/>
      </c>
      <c r="R133">
        <f>IF(E133="","",IF(P133="",COUNTIFS(Action_Register!O:O,"Closed",Action_Register!J:J,"Critical",Action_Register!W:W,"&lt;="&amp;E133),COUNTIFS(Action_Register!O:O,"Closed",Action_Register!J:J,"Critical",Action_Register!W:W,"&gt;"&amp;P133,Action_Register!W:W,"&lt;="&amp;E133)))</f>
        <v/>
      </c>
    </row>
    <row r="134">
      <c r="P134">
        <f>IF(E134="","",IFERROR(OFFSET(E134,-1,0),""))</f>
        <v/>
      </c>
      <c r="Q134">
        <f>IF(E134="","",IF(P134="",COUNTIFS(Action_Register!O:O,"Closed",Action_Register!W:W,"&lt;="&amp;E134),COUNTIFS(Action_Register!O:O,"Closed",Action_Register!W:W,"&gt;"&amp;P134,Action_Register!W:W,"&lt;="&amp;E134)))</f>
        <v/>
      </c>
      <c r="R134">
        <f>IF(E134="","",IF(P134="",COUNTIFS(Action_Register!O:O,"Closed",Action_Register!J:J,"Critical",Action_Register!W:W,"&lt;="&amp;E134),COUNTIFS(Action_Register!O:O,"Closed",Action_Register!J:J,"Critical",Action_Register!W:W,"&gt;"&amp;P134,Action_Register!W:W,"&lt;="&amp;E134)))</f>
        <v/>
      </c>
    </row>
    <row r="135">
      <c r="P135">
        <f>IF(E135="","",IFERROR(OFFSET(E135,-1,0),""))</f>
        <v/>
      </c>
      <c r="Q135">
        <f>IF(E135="","",IF(P135="",COUNTIFS(Action_Register!O:O,"Closed",Action_Register!W:W,"&lt;="&amp;E135),COUNTIFS(Action_Register!O:O,"Closed",Action_Register!W:W,"&gt;"&amp;P135,Action_Register!W:W,"&lt;="&amp;E135)))</f>
        <v/>
      </c>
      <c r="R135">
        <f>IF(E135="","",IF(P135="",COUNTIFS(Action_Register!O:O,"Closed",Action_Register!J:J,"Critical",Action_Register!W:W,"&lt;="&amp;E135),COUNTIFS(Action_Register!O:O,"Closed",Action_Register!J:J,"Critical",Action_Register!W:W,"&gt;"&amp;P135,Action_Register!W:W,"&lt;="&amp;E135)))</f>
        <v/>
      </c>
    </row>
    <row r="136">
      <c r="P136">
        <f>IF(E136="","",IFERROR(OFFSET(E136,-1,0),""))</f>
        <v/>
      </c>
      <c r="Q136">
        <f>IF(E136="","",IF(P136="",COUNTIFS(Action_Register!O:O,"Closed",Action_Register!W:W,"&lt;="&amp;E136),COUNTIFS(Action_Register!O:O,"Closed",Action_Register!W:W,"&gt;"&amp;P136,Action_Register!W:W,"&lt;="&amp;E136)))</f>
        <v/>
      </c>
      <c r="R136">
        <f>IF(E136="","",IF(P136="",COUNTIFS(Action_Register!O:O,"Closed",Action_Register!J:J,"Critical",Action_Register!W:W,"&lt;="&amp;E136),COUNTIFS(Action_Register!O:O,"Closed",Action_Register!J:J,"Critical",Action_Register!W:W,"&gt;"&amp;P136,Action_Register!W:W,"&lt;="&amp;E136)))</f>
        <v/>
      </c>
    </row>
    <row r="137">
      <c r="P137">
        <f>IF(E137="","",IFERROR(OFFSET(E137,-1,0),""))</f>
        <v/>
      </c>
      <c r="Q137">
        <f>IF(E137="","",IF(P137="",COUNTIFS(Action_Register!O:O,"Closed",Action_Register!W:W,"&lt;="&amp;E137),COUNTIFS(Action_Register!O:O,"Closed",Action_Register!W:W,"&gt;"&amp;P137,Action_Register!W:W,"&lt;="&amp;E137)))</f>
        <v/>
      </c>
      <c r="R137">
        <f>IF(E137="","",IF(P137="",COUNTIFS(Action_Register!O:O,"Closed",Action_Register!J:J,"Critical",Action_Register!W:W,"&lt;="&amp;E137),COUNTIFS(Action_Register!O:O,"Closed",Action_Register!J:J,"Critical",Action_Register!W:W,"&gt;"&amp;P137,Action_Register!W:W,"&lt;="&amp;E137)))</f>
        <v/>
      </c>
    </row>
    <row r="138">
      <c r="P138">
        <f>IF(E138="","",IFERROR(OFFSET(E138,-1,0),""))</f>
        <v/>
      </c>
      <c r="Q138">
        <f>IF(E138="","",IF(P138="",COUNTIFS(Action_Register!O:O,"Closed",Action_Register!W:W,"&lt;="&amp;E138),COUNTIFS(Action_Register!O:O,"Closed",Action_Register!W:W,"&gt;"&amp;P138,Action_Register!W:W,"&lt;="&amp;E138)))</f>
        <v/>
      </c>
      <c r="R138">
        <f>IF(E138="","",IF(P138="",COUNTIFS(Action_Register!O:O,"Closed",Action_Register!J:J,"Critical",Action_Register!W:W,"&lt;="&amp;E138),COUNTIFS(Action_Register!O:O,"Closed",Action_Register!J:J,"Critical",Action_Register!W:W,"&gt;"&amp;P138,Action_Register!W:W,"&lt;="&amp;E138)))</f>
        <v/>
      </c>
    </row>
    <row r="139">
      <c r="P139">
        <f>IF(E139="","",IFERROR(OFFSET(E139,-1,0),""))</f>
        <v/>
      </c>
      <c r="Q139">
        <f>IF(E139="","",IF(P139="",COUNTIFS(Action_Register!O:O,"Closed",Action_Register!W:W,"&lt;="&amp;E139),COUNTIFS(Action_Register!O:O,"Closed",Action_Register!W:W,"&gt;"&amp;P139,Action_Register!W:W,"&lt;="&amp;E139)))</f>
        <v/>
      </c>
      <c r="R139">
        <f>IF(E139="","",IF(P139="",COUNTIFS(Action_Register!O:O,"Closed",Action_Register!J:J,"Critical",Action_Register!W:W,"&lt;="&amp;E139),COUNTIFS(Action_Register!O:O,"Closed",Action_Register!J:J,"Critical",Action_Register!W:W,"&gt;"&amp;P139,Action_Register!W:W,"&lt;="&amp;E139)))</f>
        <v/>
      </c>
    </row>
    <row r="140">
      <c r="P140">
        <f>IF(E140="","",IFERROR(OFFSET(E140,-1,0),""))</f>
        <v/>
      </c>
      <c r="Q140">
        <f>IF(E140="","",IF(P140="",COUNTIFS(Action_Register!O:O,"Closed",Action_Register!W:W,"&lt;="&amp;E140),COUNTIFS(Action_Register!O:O,"Closed",Action_Register!W:W,"&gt;"&amp;P140,Action_Register!W:W,"&lt;="&amp;E140)))</f>
        <v/>
      </c>
      <c r="R140">
        <f>IF(E140="","",IF(P140="",COUNTIFS(Action_Register!O:O,"Closed",Action_Register!J:J,"Critical",Action_Register!W:W,"&lt;="&amp;E140),COUNTIFS(Action_Register!O:O,"Closed",Action_Register!J:J,"Critical",Action_Register!W:W,"&gt;"&amp;P140,Action_Register!W:W,"&lt;="&amp;E140)))</f>
        <v/>
      </c>
    </row>
    <row r="141">
      <c r="P141">
        <f>IF(E141="","",IFERROR(OFFSET(E141,-1,0),""))</f>
        <v/>
      </c>
      <c r="Q141">
        <f>IF(E141="","",IF(P141="",COUNTIFS(Action_Register!O:O,"Closed",Action_Register!W:W,"&lt;="&amp;E141),COUNTIFS(Action_Register!O:O,"Closed",Action_Register!W:W,"&gt;"&amp;P141,Action_Register!W:W,"&lt;="&amp;E141)))</f>
        <v/>
      </c>
      <c r="R141">
        <f>IF(E141="","",IF(P141="",COUNTIFS(Action_Register!O:O,"Closed",Action_Register!J:J,"Critical",Action_Register!W:W,"&lt;="&amp;E141),COUNTIFS(Action_Register!O:O,"Closed",Action_Register!J:J,"Critical",Action_Register!W:W,"&gt;"&amp;P141,Action_Register!W:W,"&lt;="&amp;E141)))</f>
        <v/>
      </c>
    </row>
    <row r="142">
      <c r="P142">
        <f>IF(E142="","",IFERROR(OFFSET(E142,-1,0),""))</f>
        <v/>
      </c>
      <c r="Q142">
        <f>IF(E142="","",IF(P142="",COUNTIFS(Action_Register!O:O,"Closed",Action_Register!W:W,"&lt;="&amp;E142),COUNTIFS(Action_Register!O:O,"Closed",Action_Register!W:W,"&gt;"&amp;P142,Action_Register!W:W,"&lt;="&amp;E142)))</f>
        <v/>
      </c>
      <c r="R142">
        <f>IF(E142="","",IF(P142="",COUNTIFS(Action_Register!O:O,"Closed",Action_Register!J:J,"Critical",Action_Register!W:W,"&lt;="&amp;E142),COUNTIFS(Action_Register!O:O,"Closed",Action_Register!J:J,"Critical",Action_Register!W:W,"&gt;"&amp;P142,Action_Register!W:W,"&lt;="&amp;E142)))</f>
        <v/>
      </c>
    </row>
    <row r="143">
      <c r="P143">
        <f>IF(E143="","",IFERROR(OFFSET(E143,-1,0),""))</f>
        <v/>
      </c>
      <c r="Q143">
        <f>IF(E143="","",IF(P143="",COUNTIFS(Action_Register!O:O,"Closed",Action_Register!W:W,"&lt;="&amp;E143),COUNTIFS(Action_Register!O:O,"Closed",Action_Register!W:W,"&gt;"&amp;P143,Action_Register!W:W,"&lt;="&amp;E143)))</f>
        <v/>
      </c>
      <c r="R143">
        <f>IF(E143="","",IF(P143="",COUNTIFS(Action_Register!O:O,"Closed",Action_Register!J:J,"Critical",Action_Register!W:W,"&lt;="&amp;E143),COUNTIFS(Action_Register!O:O,"Closed",Action_Register!J:J,"Critical",Action_Register!W:W,"&gt;"&amp;P143,Action_Register!W:W,"&lt;="&amp;E143)))</f>
        <v/>
      </c>
    </row>
    <row r="144">
      <c r="P144">
        <f>IF(E144="","",IFERROR(OFFSET(E144,-1,0),""))</f>
        <v/>
      </c>
      <c r="Q144">
        <f>IF(E144="","",IF(P144="",COUNTIFS(Action_Register!O:O,"Closed",Action_Register!W:W,"&lt;="&amp;E144),COUNTIFS(Action_Register!O:O,"Closed",Action_Register!W:W,"&gt;"&amp;P144,Action_Register!W:W,"&lt;="&amp;E144)))</f>
        <v/>
      </c>
      <c r="R144">
        <f>IF(E144="","",IF(P144="",COUNTIFS(Action_Register!O:O,"Closed",Action_Register!J:J,"Critical",Action_Register!W:W,"&lt;="&amp;E144),COUNTIFS(Action_Register!O:O,"Closed",Action_Register!J:J,"Critical",Action_Register!W:W,"&gt;"&amp;P144,Action_Register!W:W,"&lt;="&amp;E144)))</f>
        <v/>
      </c>
    </row>
    <row r="145">
      <c r="P145">
        <f>IF(E145="","",IFERROR(OFFSET(E145,-1,0),""))</f>
        <v/>
      </c>
      <c r="Q145">
        <f>IF(E145="","",IF(P145="",COUNTIFS(Action_Register!O:O,"Closed",Action_Register!W:W,"&lt;="&amp;E145),COUNTIFS(Action_Register!O:O,"Closed",Action_Register!W:W,"&gt;"&amp;P145,Action_Register!W:W,"&lt;="&amp;E145)))</f>
        <v/>
      </c>
      <c r="R145">
        <f>IF(E145="","",IF(P145="",COUNTIFS(Action_Register!O:O,"Closed",Action_Register!J:J,"Critical",Action_Register!W:W,"&lt;="&amp;E145),COUNTIFS(Action_Register!O:O,"Closed",Action_Register!J:J,"Critical",Action_Register!W:W,"&gt;"&amp;P145,Action_Register!W:W,"&lt;="&amp;E145)))</f>
        <v/>
      </c>
    </row>
    <row r="146">
      <c r="P146">
        <f>IF(E146="","",IFERROR(OFFSET(E146,-1,0),""))</f>
        <v/>
      </c>
      <c r="Q146">
        <f>IF(E146="","",IF(P146="",COUNTIFS(Action_Register!O:O,"Closed",Action_Register!W:W,"&lt;="&amp;E146),COUNTIFS(Action_Register!O:O,"Closed",Action_Register!W:W,"&gt;"&amp;P146,Action_Register!W:W,"&lt;="&amp;E146)))</f>
        <v/>
      </c>
      <c r="R146">
        <f>IF(E146="","",IF(P146="",COUNTIFS(Action_Register!O:O,"Closed",Action_Register!J:J,"Critical",Action_Register!W:W,"&lt;="&amp;E146),COUNTIFS(Action_Register!O:O,"Closed",Action_Register!J:J,"Critical",Action_Register!W:W,"&gt;"&amp;P146,Action_Register!W:W,"&lt;="&amp;E146)))</f>
        <v/>
      </c>
    </row>
    <row r="147">
      <c r="P147">
        <f>IF(E147="","",IFERROR(OFFSET(E147,-1,0),""))</f>
        <v/>
      </c>
      <c r="Q147">
        <f>IF(E147="","",IF(P147="",COUNTIFS(Action_Register!O:O,"Closed",Action_Register!W:W,"&lt;="&amp;E147),COUNTIFS(Action_Register!O:O,"Closed",Action_Register!W:W,"&gt;"&amp;P147,Action_Register!W:W,"&lt;="&amp;E147)))</f>
        <v/>
      </c>
      <c r="R147">
        <f>IF(E147="","",IF(P147="",COUNTIFS(Action_Register!O:O,"Closed",Action_Register!J:J,"Critical",Action_Register!W:W,"&lt;="&amp;E147),COUNTIFS(Action_Register!O:O,"Closed",Action_Register!J:J,"Critical",Action_Register!W:W,"&gt;"&amp;P147,Action_Register!W:W,"&lt;="&amp;E147)))</f>
        <v/>
      </c>
    </row>
    <row r="148">
      <c r="P148">
        <f>IF(E148="","",IFERROR(OFFSET(E148,-1,0),""))</f>
        <v/>
      </c>
      <c r="Q148">
        <f>IF(E148="","",IF(P148="",COUNTIFS(Action_Register!O:O,"Closed",Action_Register!W:W,"&lt;="&amp;E148),COUNTIFS(Action_Register!O:O,"Closed",Action_Register!W:W,"&gt;"&amp;P148,Action_Register!W:W,"&lt;="&amp;E148)))</f>
        <v/>
      </c>
      <c r="R148">
        <f>IF(E148="","",IF(P148="",COUNTIFS(Action_Register!O:O,"Closed",Action_Register!J:J,"Critical",Action_Register!W:W,"&lt;="&amp;E148),COUNTIFS(Action_Register!O:O,"Closed",Action_Register!J:J,"Critical",Action_Register!W:W,"&gt;"&amp;P148,Action_Register!W:W,"&lt;="&amp;E148)))</f>
        <v/>
      </c>
    </row>
    <row r="149">
      <c r="P149">
        <f>IF(E149="","",IFERROR(OFFSET(E149,-1,0),""))</f>
        <v/>
      </c>
      <c r="Q149">
        <f>IF(E149="","",IF(P149="",COUNTIFS(Action_Register!O:O,"Closed",Action_Register!W:W,"&lt;="&amp;E149),COUNTIFS(Action_Register!O:O,"Closed",Action_Register!W:W,"&gt;"&amp;P149,Action_Register!W:W,"&lt;="&amp;E149)))</f>
        <v/>
      </c>
      <c r="R149">
        <f>IF(E149="","",IF(P149="",COUNTIFS(Action_Register!O:O,"Closed",Action_Register!J:J,"Critical",Action_Register!W:W,"&lt;="&amp;E149),COUNTIFS(Action_Register!O:O,"Closed",Action_Register!J:J,"Critical",Action_Register!W:W,"&gt;"&amp;P149,Action_Register!W:W,"&lt;="&amp;E149)))</f>
        <v/>
      </c>
    </row>
    <row r="150">
      <c r="P150">
        <f>IF(E150="","",IFERROR(OFFSET(E150,-1,0),""))</f>
        <v/>
      </c>
      <c r="Q150">
        <f>IF(E150="","",IF(P150="",COUNTIFS(Action_Register!O:O,"Closed",Action_Register!W:W,"&lt;="&amp;E150),COUNTIFS(Action_Register!O:O,"Closed",Action_Register!W:W,"&gt;"&amp;P150,Action_Register!W:W,"&lt;="&amp;E150)))</f>
        <v/>
      </c>
      <c r="R150">
        <f>IF(E150="","",IF(P150="",COUNTIFS(Action_Register!O:O,"Closed",Action_Register!J:J,"Critical",Action_Register!W:W,"&lt;="&amp;E150),COUNTIFS(Action_Register!O:O,"Closed",Action_Register!J:J,"Critical",Action_Register!W:W,"&gt;"&amp;P150,Action_Register!W:W,"&lt;="&amp;E150)))</f>
        <v/>
      </c>
    </row>
    <row r="151">
      <c r="P151">
        <f>IF(E151="","",IFERROR(OFFSET(E151,-1,0),""))</f>
        <v/>
      </c>
      <c r="Q151">
        <f>IF(E151="","",IF(P151="",COUNTIFS(Action_Register!O:O,"Closed",Action_Register!W:W,"&lt;="&amp;E151),COUNTIFS(Action_Register!O:O,"Closed",Action_Register!W:W,"&gt;"&amp;P151,Action_Register!W:W,"&lt;="&amp;E151)))</f>
        <v/>
      </c>
      <c r="R151">
        <f>IF(E151="","",IF(P151="",COUNTIFS(Action_Register!O:O,"Closed",Action_Register!J:J,"Critical",Action_Register!W:W,"&lt;="&amp;E151),COUNTIFS(Action_Register!O:O,"Closed",Action_Register!J:J,"Critical",Action_Register!W:W,"&gt;"&amp;P151,Action_Register!W:W,"&lt;="&amp;E151)))</f>
        <v/>
      </c>
    </row>
    <row r="152">
      <c r="P152">
        <f>IF(E152="","",IFERROR(OFFSET(E152,-1,0),""))</f>
        <v/>
      </c>
      <c r="Q152">
        <f>IF(E152="","",IF(P152="",COUNTIFS(Action_Register!O:O,"Closed",Action_Register!W:W,"&lt;="&amp;E152),COUNTIFS(Action_Register!O:O,"Closed",Action_Register!W:W,"&gt;"&amp;P152,Action_Register!W:W,"&lt;="&amp;E152)))</f>
        <v/>
      </c>
      <c r="R152">
        <f>IF(E152="","",IF(P152="",COUNTIFS(Action_Register!O:O,"Closed",Action_Register!J:J,"Critical",Action_Register!W:W,"&lt;="&amp;E152),COUNTIFS(Action_Register!O:O,"Closed",Action_Register!J:J,"Critical",Action_Register!W:W,"&gt;"&amp;P152,Action_Register!W:W,"&lt;="&amp;E152)))</f>
        <v/>
      </c>
    </row>
    <row r="153">
      <c r="P153">
        <f>IF(E153="","",IFERROR(OFFSET(E153,-1,0),""))</f>
        <v/>
      </c>
      <c r="Q153">
        <f>IF(E153="","",IF(P153="",COUNTIFS(Action_Register!O:O,"Closed",Action_Register!W:W,"&lt;="&amp;E153),COUNTIFS(Action_Register!O:O,"Closed",Action_Register!W:W,"&gt;"&amp;P153,Action_Register!W:W,"&lt;="&amp;E153)))</f>
        <v/>
      </c>
      <c r="R153">
        <f>IF(E153="","",IF(P153="",COUNTIFS(Action_Register!O:O,"Closed",Action_Register!J:J,"Critical",Action_Register!W:W,"&lt;="&amp;E153),COUNTIFS(Action_Register!O:O,"Closed",Action_Register!J:J,"Critical",Action_Register!W:W,"&gt;"&amp;P153,Action_Register!W:W,"&lt;="&amp;E153)))</f>
        <v/>
      </c>
    </row>
    <row r="154">
      <c r="P154">
        <f>IF(E154="","",IFERROR(OFFSET(E154,-1,0),""))</f>
        <v/>
      </c>
      <c r="Q154">
        <f>IF(E154="","",IF(P154="",COUNTIFS(Action_Register!O:O,"Closed",Action_Register!W:W,"&lt;="&amp;E154),COUNTIFS(Action_Register!O:O,"Closed",Action_Register!W:W,"&gt;"&amp;P154,Action_Register!W:W,"&lt;="&amp;E154)))</f>
        <v/>
      </c>
      <c r="R154">
        <f>IF(E154="","",IF(P154="",COUNTIFS(Action_Register!O:O,"Closed",Action_Register!J:J,"Critical",Action_Register!W:W,"&lt;="&amp;E154),COUNTIFS(Action_Register!O:O,"Closed",Action_Register!J:J,"Critical",Action_Register!W:W,"&gt;"&amp;P154,Action_Register!W:W,"&lt;="&amp;E154)))</f>
        <v/>
      </c>
    </row>
    <row r="155">
      <c r="P155">
        <f>IF(E155="","",IFERROR(OFFSET(E155,-1,0),""))</f>
        <v/>
      </c>
      <c r="Q155">
        <f>IF(E155="","",IF(P155="",COUNTIFS(Action_Register!O:O,"Closed",Action_Register!W:W,"&lt;="&amp;E155),COUNTIFS(Action_Register!O:O,"Closed",Action_Register!W:W,"&gt;"&amp;P155,Action_Register!W:W,"&lt;="&amp;E155)))</f>
        <v/>
      </c>
      <c r="R155">
        <f>IF(E155="","",IF(P155="",COUNTIFS(Action_Register!O:O,"Closed",Action_Register!J:J,"Critical",Action_Register!W:W,"&lt;="&amp;E155),COUNTIFS(Action_Register!O:O,"Closed",Action_Register!J:J,"Critical",Action_Register!W:W,"&gt;"&amp;P155,Action_Register!W:W,"&lt;="&amp;E155)))</f>
        <v/>
      </c>
    </row>
    <row r="156">
      <c r="P156">
        <f>IF(E156="","",IFERROR(OFFSET(E156,-1,0),""))</f>
        <v/>
      </c>
      <c r="Q156">
        <f>IF(E156="","",IF(P156="",COUNTIFS(Action_Register!O:O,"Closed",Action_Register!W:W,"&lt;="&amp;E156),COUNTIFS(Action_Register!O:O,"Closed",Action_Register!W:W,"&gt;"&amp;P156,Action_Register!W:W,"&lt;="&amp;E156)))</f>
        <v/>
      </c>
      <c r="R156">
        <f>IF(E156="","",IF(P156="",COUNTIFS(Action_Register!O:O,"Closed",Action_Register!J:J,"Critical",Action_Register!W:W,"&lt;="&amp;E156),COUNTIFS(Action_Register!O:O,"Closed",Action_Register!J:J,"Critical",Action_Register!W:W,"&gt;"&amp;P156,Action_Register!W:W,"&lt;="&amp;E156)))</f>
        <v/>
      </c>
    </row>
    <row r="157">
      <c r="P157">
        <f>IF(E157="","",IFERROR(OFFSET(E157,-1,0),""))</f>
        <v/>
      </c>
      <c r="Q157">
        <f>IF(E157="","",IF(P157="",COUNTIFS(Action_Register!O:O,"Closed",Action_Register!W:W,"&lt;="&amp;E157),COUNTIFS(Action_Register!O:O,"Closed",Action_Register!W:W,"&gt;"&amp;P157,Action_Register!W:W,"&lt;="&amp;E157)))</f>
        <v/>
      </c>
      <c r="R157">
        <f>IF(E157="","",IF(P157="",COUNTIFS(Action_Register!O:O,"Closed",Action_Register!J:J,"Critical",Action_Register!W:W,"&lt;="&amp;E157),COUNTIFS(Action_Register!O:O,"Closed",Action_Register!J:J,"Critical",Action_Register!W:W,"&gt;"&amp;P157,Action_Register!W:W,"&lt;="&amp;E157)))</f>
        <v/>
      </c>
    </row>
    <row r="158">
      <c r="P158">
        <f>IF(E158="","",IFERROR(OFFSET(E158,-1,0),""))</f>
        <v/>
      </c>
      <c r="Q158">
        <f>IF(E158="","",IF(P158="",COUNTIFS(Action_Register!O:O,"Closed",Action_Register!W:W,"&lt;="&amp;E158),COUNTIFS(Action_Register!O:O,"Closed",Action_Register!W:W,"&gt;"&amp;P158,Action_Register!W:W,"&lt;="&amp;E158)))</f>
        <v/>
      </c>
      <c r="R158">
        <f>IF(E158="","",IF(P158="",COUNTIFS(Action_Register!O:O,"Closed",Action_Register!J:J,"Critical",Action_Register!W:W,"&lt;="&amp;E158),COUNTIFS(Action_Register!O:O,"Closed",Action_Register!J:J,"Critical",Action_Register!W:W,"&gt;"&amp;P158,Action_Register!W:W,"&lt;="&amp;E158)))</f>
        <v/>
      </c>
    </row>
    <row r="159">
      <c r="P159">
        <f>IF(E159="","",IFERROR(OFFSET(E159,-1,0),""))</f>
        <v/>
      </c>
      <c r="Q159">
        <f>IF(E159="","",IF(P159="",COUNTIFS(Action_Register!O:O,"Closed",Action_Register!W:W,"&lt;="&amp;E159),COUNTIFS(Action_Register!O:O,"Closed",Action_Register!W:W,"&gt;"&amp;P159,Action_Register!W:W,"&lt;="&amp;E159)))</f>
        <v/>
      </c>
      <c r="R159">
        <f>IF(E159="","",IF(P159="",COUNTIFS(Action_Register!O:O,"Closed",Action_Register!J:J,"Critical",Action_Register!W:W,"&lt;="&amp;E159),COUNTIFS(Action_Register!O:O,"Closed",Action_Register!J:J,"Critical",Action_Register!W:W,"&gt;"&amp;P159,Action_Register!W:W,"&lt;="&amp;E159)))</f>
        <v/>
      </c>
    </row>
    <row r="160">
      <c r="P160">
        <f>IF(E160="","",IFERROR(OFFSET(E160,-1,0),""))</f>
        <v/>
      </c>
      <c r="Q160">
        <f>IF(E160="","",IF(P160="",COUNTIFS(Action_Register!O:O,"Closed",Action_Register!W:W,"&lt;="&amp;E160),COUNTIFS(Action_Register!O:O,"Closed",Action_Register!W:W,"&gt;"&amp;P160,Action_Register!W:W,"&lt;="&amp;E160)))</f>
        <v/>
      </c>
      <c r="R160">
        <f>IF(E160="","",IF(P160="",COUNTIFS(Action_Register!O:O,"Closed",Action_Register!J:J,"Critical",Action_Register!W:W,"&lt;="&amp;E160),COUNTIFS(Action_Register!O:O,"Closed",Action_Register!J:J,"Critical",Action_Register!W:W,"&gt;"&amp;P160,Action_Register!W:W,"&lt;="&amp;E160)))</f>
        <v/>
      </c>
    </row>
    <row r="161">
      <c r="P161">
        <f>IF(E161="","",IFERROR(OFFSET(E161,-1,0),""))</f>
        <v/>
      </c>
      <c r="Q161">
        <f>IF(E161="","",IF(P161="",COUNTIFS(Action_Register!O:O,"Closed",Action_Register!W:W,"&lt;="&amp;E161),COUNTIFS(Action_Register!O:O,"Closed",Action_Register!W:W,"&gt;"&amp;P161,Action_Register!W:W,"&lt;="&amp;E161)))</f>
        <v/>
      </c>
      <c r="R161">
        <f>IF(E161="","",IF(P161="",COUNTIFS(Action_Register!O:O,"Closed",Action_Register!J:J,"Critical",Action_Register!W:W,"&lt;="&amp;E161),COUNTIFS(Action_Register!O:O,"Closed",Action_Register!J:J,"Critical",Action_Register!W:W,"&gt;"&amp;P161,Action_Register!W:W,"&lt;="&amp;E161)))</f>
        <v/>
      </c>
    </row>
    <row r="162">
      <c r="P162">
        <f>IF(E162="","",IFERROR(OFFSET(E162,-1,0),""))</f>
        <v/>
      </c>
      <c r="Q162">
        <f>IF(E162="","",IF(P162="",COUNTIFS(Action_Register!O:O,"Closed",Action_Register!W:W,"&lt;="&amp;E162),COUNTIFS(Action_Register!O:O,"Closed",Action_Register!W:W,"&gt;"&amp;P162,Action_Register!W:W,"&lt;="&amp;E162)))</f>
        <v/>
      </c>
      <c r="R162">
        <f>IF(E162="","",IF(P162="",COUNTIFS(Action_Register!O:O,"Closed",Action_Register!J:J,"Critical",Action_Register!W:W,"&lt;="&amp;E162),COUNTIFS(Action_Register!O:O,"Closed",Action_Register!J:J,"Critical",Action_Register!W:W,"&gt;"&amp;P162,Action_Register!W:W,"&lt;="&amp;E162)))</f>
        <v/>
      </c>
    </row>
    <row r="163">
      <c r="P163">
        <f>IF(E163="","",IFERROR(OFFSET(E163,-1,0),""))</f>
        <v/>
      </c>
      <c r="Q163">
        <f>IF(E163="","",IF(P163="",COUNTIFS(Action_Register!O:O,"Closed",Action_Register!W:W,"&lt;="&amp;E163),COUNTIFS(Action_Register!O:O,"Closed",Action_Register!W:W,"&gt;"&amp;P163,Action_Register!W:W,"&lt;="&amp;E163)))</f>
        <v/>
      </c>
      <c r="R163">
        <f>IF(E163="","",IF(P163="",COUNTIFS(Action_Register!O:O,"Closed",Action_Register!J:J,"Critical",Action_Register!W:W,"&lt;="&amp;E163),COUNTIFS(Action_Register!O:O,"Closed",Action_Register!J:J,"Critical",Action_Register!W:W,"&gt;"&amp;P163,Action_Register!W:W,"&lt;="&amp;E163)))</f>
        <v/>
      </c>
    </row>
    <row r="164">
      <c r="P164">
        <f>IF(E164="","",IFERROR(OFFSET(E164,-1,0),""))</f>
        <v/>
      </c>
      <c r="Q164">
        <f>IF(E164="","",IF(P164="",COUNTIFS(Action_Register!O:O,"Closed",Action_Register!W:W,"&lt;="&amp;E164),COUNTIFS(Action_Register!O:O,"Closed",Action_Register!W:W,"&gt;"&amp;P164,Action_Register!W:W,"&lt;="&amp;E164)))</f>
        <v/>
      </c>
      <c r="R164">
        <f>IF(E164="","",IF(P164="",COUNTIFS(Action_Register!O:O,"Closed",Action_Register!J:J,"Critical",Action_Register!W:W,"&lt;="&amp;E164),COUNTIFS(Action_Register!O:O,"Closed",Action_Register!J:J,"Critical",Action_Register!W:W,"&gt;"&amp;P164,Action_Register!W:W,"&lt;="&amp;E164)))</f>
        <v/>
      </c>
    </row>
    <row r="165">
      <c r="P165">
        <f>IF(E165="","",IFERROR(OFFSET(E165,-1,0),""))</f>
        <v/>
      </c>
      <c r="Q165">
        <f>IF(E165="","",IF(P165="",COUNTIFS(Action_Register!O:O,"Closed",Action_Register!W:W,"&lt;="&amp;E165),COUNTIFS(Action_Register!O:O,"Closed",Action_Register!W:W,"&gt;"&amp;P165,Action_Register!W:W,"&lt;="&amp;E165)))</f>
        <v/>
      </c>
      <c r="R165">
        <f>IF(E165="","",IF(P165="",COUNTIFS(Action_Register!O:O,"Closed",Action_Register!J:J,"Critical",Action_Register!W:W,"&lt;="&amp;E165),COUNTIFS(Action_Register!O:O,"Closed",Action_Register!J:J,"Critical",Action_Register!W:W,"&gt;"&amp;P165,Action_Register!W:W,"&lt;="&amp;E165)))</f>
        <v/>
      </c>
    </row>
    <row r="166">
      <c r="P166">
        <f>IF(E166="","",IFERROR(OFFSET(E166,-1,0),""))</f>
        <v/>
      </c>
      <c r="Q166">
        <f>IF(E166="","",IF(P166="",COUNTIFS(Action_Register!O:O,"Closed",Action_Register!W:W,"&lt;="&amp;E166),COUNTIFS(Action_Register!O:O,"Closed",Action_Register!W:W,"&gt;"&amp;P166,Action_Register!W:W,"&lt;="&amp;E166)))</f>
        <v/>
      </c>
      <c r="R166">
        <f>IF(E166="","",IF(P166="",COUNTIFS(Action_Register!O:O,"Closed",Action_Register!J:J,"Critical",Action_Register!W:W,"&lt;="&amp;E166),COUNTIFS(Action_Register!O:O,"Closed",Action_Register!J:J,"Critical",Action_Register!W:W,"&gt;"&amp;P166,Action_Register!W:W,"&lt;="&amp;E166)))</f>
        <v/>
      </c>
    </row>
    <row r="167">
      <c r="P167">
        <f>IF(E167="","",IFERROR(OFFSET(E167,-1,0),""))</f>
        <v/>
      </c>
      <c r="Q167">
        <f>IF(E167="","",IF(P167="",COUNTIFS(Action_Register!O:O,"Closed",Action_Register!W:W,"&lt;="&amp;E167),COUNTIFS(Action_Register!O:O,"Closed",Action_Register!W:W,"&gt;"&amp;P167,Action_Register!W:W,"&lt;="&amp;E167)))</f>
        <v/>
      </c>
      <c r="R167">
        <f>IF(E167="","",IF(P167="",COUNTIFS(Action_Register!O:O,"Closed",Action_Register!J:J,"Critical",Action_Register!W:W,"&lt;="&amp;E167),COUNTIFS(Action_Register!O:O,"Closed",Action_Register!J:J,"Critical",Action_Register!W:W,"&gt;"&amp;P167,Action_Register!W:W,"&lt;="&amp;E167)))</f>
        <v/>
      </c>
    </row>
    <row r="168">
      <c r="P168">
        <f>IF(E168="","",IFERROR(OFFSET(E168,-1,0),""))</f>
        <v/>
      </c>
      <c r="Q168">
        <f>IF(E168="","",IF(P168="",COUNTIFS(Action_Register!O:O,"Closed",Action_Register!W:W,"&lt;="&amp;E168),COUNTIFS(Action_Register!O:O,"Closed",Action_Register!W:W,"&gt;"&amp;P168,Action_Register!W:W,"&lt;="&amp;E168)))</f>
        <v/>
      </c>
      <c r="R168">
        <f>IF(E168="","",IF(P168="",COUNTIFS(Action_Register!O:O,"Closed",Action_Register!J:J,"Critical",Action_Register!W:W,"&lt;="&amp;E168),COUNTIFS(Action_Register!O:O,"Closed",Action_Register!J:J,"Critical",Action_Register!W:W,"&gt;"&amp;P168,Action_Register!W:W,"&lt;="&amp;E168)))</f>
        <v/>
      </c>
    </row>
    <row r="169">
      <c r="P169">
        <f>IF(E169="","",IFERROR(OFFSET(E169,-1,0),""))</f>
        <v/>
      </c>
      <c r="Q169">
        <f>IF(E169="","",IF(P169="",COUNTIFS(Action_Register!O:O,"Closed",Action_Register!W:W,"&lt;="&amp;E169),COUNTIFS(Action_Register!O:O,"Closed",Action_Register!W:W,"&gt;"&amp;P169,Action_Register!W:W,"&lt;="&amp;E169)))</f>
        <v/>
      </c>
      <c r="R169">
        <f>IF(E169="","",IF(P169="",COUNTIFS(Action_Register!O:O,"Closed",Action_Register!J:J,"Critical",Action_Register!W:W,"&lt;="&amp;E169),COUNTIFS(Action_Register!O:O,"Closed",Action_Register!J:J,"Critical",Action_Register!W:W,"&gt;"&amp;P169,Action_Register!W:W,"&lt;="&amp;E169)))</f>
        <v/>
      </c>
    </row>
    <row r="170">
      <c r="P170">
        <f>IF(E170="","",IFERROR(OFFSET(E170,-1,0),""))</f>
        <v/>
      </c>
      <c r="Q170">
        <f>IF(E170="","",IF(P170="",COUNTIFS(Action_Register!O:O,"Closed",Action_Register!W:W,"&lt;="&amp;E170),COUNTIFS(Action_Register!O:O,"Closed",Action_Register!W:W,"&gt;"&amp;P170,Action_Register!W:W,"&lt;="&amp;E170)))</f>
        <v/>
      </c>
      <c r="R170">
        <f>IF(E170="","",IF(P170="",COUNTIFS(Action_Register!O:O,"Closed",Action_Register!J:J,"Critical",Action_Register!W:W,"&lt;="&amp;E170),COUNTIFS(Action_Register!O:O,"Closed",Action_Register!J:J,"Critical",Action_Register!W:W,"&gt;"&amp;P170,Action_Register!W:W,"&lt;="&amp;E170)))</f>
        <v/>
      </c>
    </row>
    <row r="171">
      <c r="P171">
        <f>IF(E171="","",IFERROR(OFFSET(E171,-1,0),""))</f>
        <v/>
      </c>
      <c r="Q171">
        <f>IF(E171="","",IF(P171="",COUNTIFS(Action_Register!O:O,"Closed",Action_Register!W:W,"&lt;="&amp;E171),COUNTIFS(Action_Register!O:O,"Closed",Action_Register!W:W,"&gt;"&amp;P171,Action_Register!W:W,"&lt;="&amp;E171)))</f>
        <v/>
      </c>
      <c r="R171">
        <f>IF(E171="","",IF(P171="",COUNTIFS(Action_Register!O:O,"Closed",Action_Register!J:J,"Critical",Action_Register!W:W,"&lt;="&amp;E171),COUNTIFS(Action_Register!O:O,"Closed",Action_Register!J:J,"Critical",Action_Register!W:W,"&gt;"&amp;P171,Action_Register!W:W,"&lt;="&amp;E171)))</f>
        <v/>
      </c>
    </row>
    <row r="172">
      <c r="P172">
        <f>IF(E172="","",IFERROR(OFFSET(E172,-1,0),""))</f>
        <v/>
      </c>
      <c r="Q172">
        <f>IF(E172="","",IF(P172="",COUNTIFS(Action_Register!O:O,"Closed",Action_Register!W:W,"&lt;="&amp;E172),COUNTIFS(Action_Register!O:O,"Closed",Action_Register!W:W,"&gt;"&amp;P172,Action_Register!W:W,"&lt;="&amp;E172)))</f>
        <v/>
      </c>
      <c r="R172">
        <f>IF(E172="","",IF(P172="",COUNTIFS(Action_Register!O:O,"Closed",Action_Register!J:J,"Critical",Action_Register!W:W,"&lt;="&amp;E172),COUNTIFS(Action_Register!O:O,"Closed",Action_Register!J:J,"Critical",Action_Register!W:W,"&gt;"&amp;P172,Action_Register!W:W,"&lt;="&amp;E172)))</f>
        <v/>
      </c>
    </row>
    <row r="173">
      <c r="P173">
        <f>IF(E173="","",IFERROR(OFFSET(E173,-1,0),""))</f>
        <v/>
      </c>
      <c r="Q173">
        <f>IF(E173="","",IF(P173="",COUNTIFS(Action_Register!O:O,"Closed",Action_Register!W:W,"&lt;="&amp;E173),COUNTIFS(Action_Register!O:O,"Closed",Action_Register!W:W,"&gt;"&amp;P173,Action_Register!W:W,"&lt;="&amp;E173)))</f>
        <v/>
      </c>
      <c r="R173">
        <f>IF(E173="","",IF(P173="",COUNTIFS(Action_Register!O:O,"Closed",Action_Register!J:J,"Critical",Action_Register!W:W,"&lt;="&amp;E173),COUNTIFS(Action_Register!O:O,"Closed",Action_Register!J:J,"Critical",Action_Register!W:W,"&gt;"&amp;P173,Action_Register!W:W,"&lt;="&amp;E173)))</f>
        <v/>
      </c>
    </row>
    <row r="174">
      <c r="P174">
        <f>IF(E174="","",IFERROR(OFFSET(E174,-1,0),""))</f>
        <v/>
      </c>
      <c r="Q174">
        <f>IF(E174="","",IF(P174="",COUNTIFS(Action_Register!O:O,"Closed",Action_Register!W:W,"&lt;="&amp;E174),COUNTIFS(Action_Register!O:O,"Closed",Action_Register!W:W,"&gt;"&amp;P174,Action_Register!W:W,"&lt;="&amp;E174)))</f>
        <v/>
      </c>
      <c r="R174">
        <f>IF(E174="","",IF(P174="",COUNTIFS(Action_Register!O:O,"Closed",Action_Register!J:J,"Critical",Action_Register!W:W,"&lt;="&amp;E174),COUNTIFS(Action_Register!O:O,"Closed",Action_Register!J:J,"Critical",Action_Register!W:W,"&gt;"&amp;P174,Action_Register!W:W,"&lt;="&amp;E174)))</f>
        <v/>
      </c>
    </row>
    <row r="175">
      <c r="P175">
        <f>IF(E175="","",IFERROR(OFFSET(E175,-1,0),""))</f>
        <v/>
      </c>
      <c r="Q175">
        <f>IF(E175="","",IF(P175="",COUNTIFS(Action_Register!O:O,"Closed",Action_Register!W:W,"&lt;="&amp;E175),COUNTIFS(Action_Register!O:O,"Closed",Action_Register!W:W,"&gt;"&amp;P175,Action_Register!W:W,"&lt;="&amp;E175)))</f>
        <v/>
      </c>
      <c r="R175">
        <f>IF(E175="","",IF(P175="",COUNTIFS(Action_Register!O:O,"Closed",Action_Register!J:J,"Critical",Action_Register!W:W,"&lt;="&amp;E175),COUNTIFS(Action_Register!O:O,"Closed",Action_Register!J:J,"Critical",Action_Register!W:W,"&gt;"&amp;P175,Action_Register!W:W,"&lt;="&amp;E175)))</f>
        <v/>
      </c>
    </row>
    <row r="176">
      <c r="P176">
        <f>IF(E176="","",IFERROR(OFFSET(E176,-1,0),""))</f>
        <v/>
      </c>
      <c r="Q176">
        <f>IF(E176="","",IF(P176="",COUNTIFS(Action_Register!O:O,"Closed",Action_Register!W:W,"&lt;="&amp;E176),COUNTIFS(Action_Register!O:O,"Closed",Action_Register!W:W,"&gt;"&amp;P176,Action_Register!W:W,"&lt;="&amp;E176)))</f>
        <v/>
      </c>
      <c r="R176">
        <f>IF(E176="","",IF(P176="",COUNTIFS(Action_Register!O:O,"Closed",Action_Register!J:J,"Critical",Action_Register!W:W,"&lt;="&amp;E176),COUNTIFS(Action_Register!O:O,"Closed",Action_Register!J:J,"Critical",Action_Register!W:W,"&gt;"&amp;P176,Action_Register!W:W,"&lt;="&amp;E176)))</f>
        <v/>
      </c>
    </row>
    <row r="177">
      <c r="P177">
        <f>IF(E177="","",IFERROR(OFFSET(E177,-1,0),""))</f>
        <v/>
      </c>
      <c r="Q177">
        <f>IF(E177="","",IF(P177="",COUNTIFS(Action_Register!O:O,"Closed",Action_Register!W:W,"&lt;="&amp;E177),COUNTIFS(Action_Register!O:O,"Closed",Action_Register!W:W,"&gt;"&amp;P177,Action_Register!W:W,"&lt;="&amp;E177)))</f>
        <v/>
      </c>
      <c r="R177">
        <f>IF(E177="","",IF(P177="",COUNTIFS(Action_Register!O:O,"Closed",Action_Register!J:J,"Critical",Action_Register!W:W,"&lt;="&amp;E177),COUNTIFS(Action_Register!O:O,"Closed",Action_Register!J:J,"Critical",Action_Register!W:W,"&gt;"&amp;P177,Action_Register!W:W,"&lt;="&amp;E177)))</f>
        <v/>
      </c>
    </row>
    <row r="178">
      <c r="P178">
        <f>IF(E178="","",IFERROR(OFFSET(E178,-1,0),""))</f>
        <v/>
      </c>
      <c r="Q178">
        <f>IF(E178="","",IF(P178="",COUNTIFS(Action_Register!O:O,"Closed",Action_Register!W:W,"&lt;="&amp;E178),COUNTIFS(Action_Register!O:O,"Closed",Action_Register!W:W,"&gt;"&amp;P178,Action_Register!W:W,"&lt;="&amp;E178)))</f>
        <v/>
      </c>
      <c r="R178">
        <f>IF(E178="","",IF(P178="",COUNTIFS(Action_Register!O:O,"Closed",Action_Register!J:J,"Critical",Action_Register!W:W,"&lt;="&amp;E178),COUNTIFS(Action_Register!O:O,"Closed",Action_Register!J:J,"Critical",Action_Register!W:W,"&gt;"&amp;P178,Action_Register!W:W,"&lt;="&amp;E178)))</f>
        <v/>
      </c>
    </row>
    <row r="179">
      <c r="P179">
        <f>IF(E179="","",IFERROR(OFFSET(E179,-1,0),""))</f>
        <v/>
      </c>
      <c r="Q179">
        <f>IF(E179="","",IF(P179="",COUNTIFS(Action_Register!O:O,"Closed",Action_Register!W:W,"&lt;="&amp;E179),COUNTIFS(Action_Register!O:O,"Closed",Action_Register!W:W,"&gt;"&amp;P179,Action_Register!W:W,"&lt;="&amp;E179)))</f>
        <v/>
      </c>
      <c r="R179">
        <f>IF(E179="","",IF(P179="",COUNTIFS(Action_Register!O:O,"Closed",Action_Register!J:J,"Critical",Action_Register!W:W,"&lt;="&amp;E179),COUNTIFS(Action_Register!O:O,"Closed",Action_Register!J:J,"Critical",Action_Register!W:W,"&gt;"&amp;P179,Action_Register!W:W,"&lt;="&amp;E179)))</f>
        <v/>
      </c>
    </row>
    <row r="180">
      <c r="P180">
        <f>IF(E180="","",IFERROR(OFFSET(E180,-1,0),""))</f>
        <v/>
      </c>
      <c r="Q180">
        <f>IF(E180="","",IF(P180="",COUNTIFS(Action_Register!O:O,"Closed",Action_Register!W:W,"&lt;="&amp;E180),COUNTIFS(Action_Register!O:O,"Closed",Action_Register!W:W,"&gt;"&amp;P180,Action_Register!W:W,"&lt;="&amp;E180)))</f>
        <v/>
      </c>
      <c r="R180">
        <f>IF(E180="","",IF(P180="",COUNTIFS(Action_Register!O:O,"Closed",Action_Register!J:J,"Critical",Action_Register!W:W,"&lt;="&amp;E180),COUNTIFS(Action_Register!O:O,"Closed",Action_Register!J:J,"Critical",Action_Register!W:W,"&gt;"&amp;P180,Action_Register!W:W,"&lt;="&amp;E180)))</f>
        <v/>
      </c>
    </row>
    <row r="181">
      <c r="P181">
        <f>IF(E181="","",IFERROR(OFFSET(E181,-1,0),""))</f>
        <v/>
      </c>
      <c r="Q181">
        <f>IF(E181="","",IF(P181="",COUNTIFS(Action_Register!O:O,"Closed",Action_Register!W:W,"&lt;="&amp;E181),COUNTIFS(Action_Register!O:O,"Closed",Action_Register!W:W,"&gt;"&amp;P181,Action_Register!W:W,"&lt;="&amp;E181)))</f>
        <v/>
      </c>
      <c r="R181">
        <f>IF(E181="","",IF(P181="",COUNTIFS(Action_Register!O:O,"Closed",Action_Register!J:J,"Critical",Action_Register!W:W,"&lt;="&amp;E181),COUNTIFS(Action_Register!O:O,"Closed",Action_Register!J:J,"Critical",Action_Register!W:W,"&gt;"&amp;P181,Action_Register!W:W,"&lt;="&amp;E181)))</f>
        <v/>
      </c>
    </row>
    <row r="182">
      <c r="P182">
        <f>IF(E182="","",IFERROR(OFFSET(E182,-1,0),""))</f>
        <v/>
      </c>
      <c r="Q182">
        <f>IF(E182="","",IF(P182="",COUNTIFS(Action_Register!O:O,"Closed",Action_Register!W:W,"&lt;="&amp;E182),COUNTIFS(Action_Register!O:O,"Closed",Action_Register!W:W,"&gt;"&amp;P182,Action_Register!W:W,"&lt;="&amp;E182)))</f>
        <v/>
      </c>
      <c r="R182">
        <f>IF(E182="","",IF(P182="",COUNTIFS(Action_Register!O:O,"Closed",Action_Register!J:J,"Critical",Action_Register!W:W,"&lt;="&amp;E182),COUNTIFS(Action_Register!O:O,"Closed",Action_Register!J:J,"Critical",Action_Register!W:W,"&gt;"&amp;P182,Action_Register!W:W,"&lt;="&amp;E182)))</f>
        <v/>
      </c>
    </row>
    <row r="183">
      <c r="P183">
        <f>IF(E183="","",IFERROR(OFFSET(E183,-1,0),""))</f>
        <v/>
      </c>
      <c r="Q183">
        <f>IF(E183="","",IF(P183="",COUNTIFS(Action_Register!O:O,"Closed",Action_Register!W:W,"&lt;="&amp;E183),COUNTIFS(Action_Register!O:O,"Closed",Action_Register!W:W,"&gt;"&amp;P183,Action_Register!W:W,"&lt;="&amp;E183)))</f>
        <v/>
      </c>
      <c r="R183">
        <f>IF(E183="","",IF(P183="",COUNTIFS(Action_Register!O:O,"Closed",Action_Register!J:J,"Critical",Action_Register!W:W,"&lt;="&amp;E183),COUNTIFS(Action_Register!O:O,"Closed",Action_Register!J:J,"Critical",Action_Register!W:W,"&gt;"&amp;P183,Action_Register!W:W,"&lt;="&amp;E183)))</f>
        <v/>
      </c>
    </row>
    <row r="184">
      <c r="P184">
        <f>IF(E184="","",IFERROR(OFFSET(E184,-1,0),""))</f>
        <v/>
      </c>
      <c r="Q184">
        <f>IF(E184="","",IF(P184="",COUNTIFS(Action_Register!O:O,"Closed",Action_Register!W:W,"&lt;="&amp;E184),COUNTIFS(Action_Register!O:O,"Closed",Action_Register!W:W,"&gt;"&amp;P184,Action_Register!W:W,"&lt;="&amp;E184)))</f>
        <v/>
      </c>
      <c r="R184">
        <f>IF(E184="","",IF(P184="",COUNTIFS(Action_Register!O:O,"Closed",Action_Register!J:J,"Critical",Action_Register!W:W,"&lt;="&amp;E184),COUNTIFS(Action_Register!O:O,"Closed",Action_Register!J:J,"Critical",Action_Register!W:W,"&gt;"&amp;P184,Action_Register!W:W,"&lt;="&amp;E184)))</f>
        <v/>
      </c>
    </row>
    <row r="185">
      <c r="P185">
        <f>IF(E185="","",IFERROR(OFFSET(E185,-1,0),""))</f>
        <v/>
      </c>
      <c r="Q185">
        <f>IF(E185="","",IF(P185="",COUNTIFS(Action_Register!O:O,"Closed",Action_Register!W:W,"&lt;="&amp;E185),COUNTIFS(Action_Register!O:O,"Closed",Action_Register!W:W,"&gt;"&amp;P185,Action_Register!W:W,"&lt;="&amp;E185)))</f>
        <v/>
      </c>
      <c r="R185">
        <f>IF(E185="","",IF(P185="",COUNTIFS(Action_Register!O:O,"Closed",Action_Register!J:J,"Critical",Action_Register!W:W,"&lt;="&amp;E185),COUNTIFS(Action_Register!O:O,"Closed",Action_Register!J:J,"Critical",Action_Register!W:W,"&gt;"&amp;P185,Action_Register!W:W,"&lt;="&amp;E185)))</f>
        <v/>
      </c>
    </row>
    <row r="186">
      <c r="P186">
        <f>IF(E186="","",IFERROR(OFFSET(E186,-1,0),""))</f>
        <v/>
      </c>
      <c r="Q186">
        <f>IF(E186="","",IF(P186="",COUNTIFS(Action_Register!O:O,"Closed",Action_Register!W:W,"&lt;="&amp;E186),COUNTIFS(Action_Register!O:O,"Closed",Action_Register!W:W,"&gt;"&amp;P186,Action_Register!W:W,"&lt;="&amp;E186)))</f>
        <v/>
      </c>
      <c r="R186">
        <f>IF(E186="","",IF(P186="",COUNTIFS(Action_Register!O:O,"Closed",Action_Register!J:J,"Critical",Action_Register!W:W,"&lt;="&amp;E186),COUNTIFS(Action_Register!O:O,"Closed",Action_Register!J:J,"Critical",Action_Register!W:W,"&gt;"&amp;P186,Action_Register!W:W,"&lt;="&amp;E186)))</f>
        <v/>
      </c>
    </row>
    <row r="187">
      <c r="P187">
        <f>IF(E187="","",IFERROR(OFFSET(E187,-1,0),""))</f>
        <v/>
      </c>
      <c r="Q187">
        <f>IF(E187="","",IF(P187="",COUNTIFS(Action_Register!O:O,"Closed",Action_Register!W:W,"&lt;="&amp;E187),COUNTIFS(Action_Register!O:O,"Closed",Action_Register!W:W,"&gt;"&amp;P187,Action_Register!W:W,"&lt;="&amp;E187)))</f>
        <v/>
      </c>
      <c r="R187">
        <f>IF(E187="","",IF(P187="",COUNTIFS(Action_Register!O:O,"Closed",Action_Register!J:J,"Critical",Action_Register!W:W,"&lt;="&amp;E187),COUNTIFS(Action_Register!O:O,"Closed",Action_Register!J:J,"Critical",Action_Register!W:W,"&gt;"&amp;P187,Action_Register!W:W,"&lt;="&amp;E187)))</f>
        <v/>
      </c>
    </row>
    <row r="188">
      <c r="P188">
        <f>IF(E188="","",IFERROR(OFFSET(E188,-1,0),""))</f>
        <v/>
      </c>
      <c r="Q188">
        <f>IF(E188="","",IF(P188="",COUNTIFS(Action_Register!O:O,"Closed",Action_Register!W:W,"&lt;="&amp;E188),COUNTIFS(Action_Register!O:O,"Closed",Action_Register!W:W,"&gt;"&amp;P188,Action_Register!W:W,"&lt;="&amp;E188)))</f>
        <v/>
      </c>
      <c r="R188">
        <f>IF(E188="","",IF(P188="",COUNTIFS(Action_Register!O:O,"Closed",Action_Register!J:J,"Critical",Action_Register!W:W,"&lt;="&amp;E188),COUNTIFS(Action_Register!O:O,"Closed",Action_Register!J:J,"Critical",Action_Register!W:W,"&gt;"&amp;P188,Action_Register!W:W,"&lt;="&amp;E188)))</f>
        <v/>
      </c>
    </row>
    <row r="189">
      <c r="P189">
        <f>IF(E189="","",IFERROR(OFFSET(E189,-1,0),""))</f>
        <v/>
      </c>
      <c r="Q189">
        <f>IF(E189="","",IF(P189="",COUNTIFS(Action_Register!O:O,"Closed",Action_Register!W:W,"&lt;="&amp;E189),COUNTIFS(Action_Register!O:O,"Closed",Action_Register!W:W,"&gt;"&amp;P189,Action_Register!W:W,"&lt;="&amp;E189)))</f>
        <v/>
      </c>
      <c r="R189">
        <f>IF(E189="","",IF(P189="",COUNTIFS(Action_Register!O:O,"Closed",Action_Register!J:J,"Critical",Action_Register!W:W,"&lt;="&amp;E189),COUNTIFS(Action_Register!O:O,"Closed",Action_Register!J:J,"Critical",Action_Register!W:W,"&gt;"&amp;P189,Action_Register!W:W,"&lt;="&amp;E189)))</f>
        <v/>
      </c>
    </row>
    <row r="190">
      <c r="P190">
        <f>IF(E190="","",IFERROR(OFFSET(E190,-1,0),""))</f>
        <v/>
      </c>
      <c r="Q190">
        <f>IF(E190="","",IF(P190="",COUNTIFS(Action_Register!O:O,"Closed",Action_Register!W:W,"&lt;="&amp;E190),COUNTIFS(Action_Register!O:O,"Closed",Action_Register!W:W,"&gt;"&amp;P190,Action_Register!W:W,"&lt;="&amp;E190)))</f>
        <v/>
      </c>
      <c r="R190">
        <f>IF(E190="","",IF(P190="",COUNTIFS(Action_Register!O:O,"Closed",Action_Register!J:J,"Critical",Action_Register!W:W,"&lt;="&amp;E190),COUNTIFS(Action_Register!O:O,"Closed",Action_Register!J:J,"Critical",Action_Register!W:W,"&gt;"&amp;P190,Action_Register!W:W,"&lt;="&amp;E190)))</f>
        <v/>
      </c>
    </row>
    <row r="191">
      <c r="P191">
        <f>IF(E191="","",IFERROR(OFFSET(E191,-1,0),""))</f>
        <v/>
      </c>
      <c r="Q191">
        <f>IF(E191="","",IF(P191="",COUNTIFS(Action_Register!O:O,"Closed",Action_Register!W:W,"&lt;="&amp;E191),COUNTIFS(Action_Register!O:O,"Closed",Action_Register!W:W,"&gt;"&amp;P191,Action_Register!W:W,"&lt;="&amp;E191)))</f>
        <v/>
      </c>
      <c r="R191">
        <f>IF(E191="","",IF(P191="",COUNTIFS(Action_Register!O:O,"Closed",Action_Register!J:J,"Critical",Action_Register!W:W,"&lt;="&amp;E191),COUNTIFS(Action_Register!O:O,"Closed",Action_Register!J:J,"Critical",Action_Register!W:W,"&gt;"&amp;P191,Action_Register!W:W,"&lt;="&amp;E191)))</f>
        <v/>
      </c>
    </row>
    <row r="192">
      <c r="P192">
        <f>IF(E192="","",IFERROR(OFFSET(E192,-1,0),""))</f>
        <v/>
      </c>
      <c r="Q192">
        <f>IF(E192="","",IF(P192="",COUNTIFS(Action_Register!O:O,"Closed",Action_Register!W:W,"&lt;="&amp;E192),COUNTIFS(Action_Register!O:O,"Closed",Action_Register!W:W,"&gt;"&amp;P192,Action_Register!W:W,"&lt;="&amp;E192)))</f>
        <v/>
      </c>
      <c r="R192">
        <f>IF(E192="","",IF(P192="",COUNTIFS(Action_Register!O:O,"Closed",Action_Register!J:J,"Critical",Action_Register!W:W,"&lt;="&amp;E192),COUNTIFS(Action_Register!O:O,"Closed",Action_Register!J:J,"Critical",Action_Register!W:W,"&gt;"&amp;P192,Action_Register!W:W,"&lt;="&amp;E192)))</f>
        <v/>
      </c>
    </row>
    <row r="193">
      <c r="P193">
        <f>IF(E193="","",IFERROR(OFFSET(E193,-1,0),""))</f>
        <v/>
      </c>
      <c r="Q193">
        <f>IF(E193="","",IF(P193="",COUNTIFS(Action_Register!O:O,"Closed",Action_Register!W:W,"&lt;="&amp;E193),COUNTIFS(Action_Register!O:O,"Closed",Action_Register!W:W,"&gt;"&amp;P193,Action_Register!W:W,"&lt;="&amp;E193)))</f>
        <v/>
      </c>
      <c r="R193">
        <f>IF(E193="","",IF(P193="",COUNTIFS(Action_Register!O:O,"Closed",Action_Register!J:J,"Critical",Action_Register!W:W,"&lt;="&amp;E193),COUNTIFS(Action_Register!O:O,"Closed",Action_Register!J:J,"Critical",Action_Register!W:W,"&gt;"&amp;P193,Action_Register!W:W,"&lt;="&amp;E193)))</f>
        <v/>
      </c>
    </row>
    <row r="194">
      <c r="P194">
        <f>IF(E194="","",IFERROR(OFFSET(E194,-1,0),""))</f>
        <v/>
      </c>
      <c r="Q194">
        <f>IF(E194="","",IF(P194="",COUNTIFS(Action_Register!O:O,"Closed",Action_Register!W:W,"&lt;="&amp;E194),COUNTIFS(Action_Register!O:O,"Closed",Action_Register!W:W,"&gt;"&amp;P194,Action_Register!W:W,"&lt;="&amp;E194)))</f>
        <v/>
      </c>
      <c r="R194">
        <f>IF(E194="","",IF(P194="",COUNTIFS(Action_Register!O:O,"Closed",Action_Register!J:J,"Critical",Action_Register!W:W,"&lt;="&amp;E194),COUNTIFS(Action_Register!O:O,"Closed",Action_Register!J:J,"Critical",Action_Register!W:W,"&gt;"&amp;P194,Action_Register!W:W,"&lt;="&amp;E194)))</f>
        <v/>
      </c>
    </row>
    <row r="195">
      <c r="P195">
        <f>IF(E195="","",IFERROR(OFFSET(E195,-1,0),""))</f>
        <v/>
      </c>
      <c r="Q195">
        <f>IF(E195="","",IF(P195="",COUNTIFS(Action_Register!O:O,"Closed",Action_Register!W:W,"&lt;="&amp;E195),COUNTIFS(Action_Register!O:O,"Closed",Action_Register!W:W,"&gt;"&amp;P195,Action_Register!W:W,"&lt;="&amp;E195)))</f>
        <v/>
      </c>
      <c r="R195">
        <f>IF(E195="","",IF(P195="",COUNTIFS(Action_Register!O:O,"Closed",Action_Register!J:J,"Critical",Action_Register!W:W,"&lt;="&amp;E195),COUNTIFS(Action_Register!O:O,"Closed",Action_Register!J:J,"Critical",Action_Register!W:W,"&gt;"&amp;P195,Action_Register!W:W,"&lt;="&amp;E195)))</f>
        <v/>
      </c>
    </row>
    <row r="196">
      <c r="P196">
        <f>IF(E196="","",IFERROR(OFFSET(E196,-1,0),""))</f>
        <v/>
      </c>
      <c r="Q196">
        <f>IF(E196="","",IF(P196="",COUNTIFS(Action_Register!O:O,"Closed",Action_Register!W:W,"&lt;="&amp;E196),COUNTIFS(Action_Register!O:O,"Closed",Action_Register!W:W,"&gt;"&amp;P196,Action_Register!W:W,"&lt;="&amp;E196)))</f>
        <v/>
      </c>
      <c r="R196">
        <f>IF(E196="","",IF(P196="",COUNTIFS(Action_Register!O:O,"Closed",Action_Register!J:J,"Critical",Action_Register!W:W,"&lt;="&amp;E196),COUNTIFS(Action_Register!O:O,"Closed",Action_Register!J:J,"Critical",Action_Register!W:W,"&gt;"&amp;P196,Action_Register!W:W,"&lt;="&amp;E196)))</f>
        <v/>
      </c>
    </row>
    <row r="197">
      <c r="P197">
        <f>IF(E197="","",IFERROR(OFFSET(E197,-1,0),""))</f>
        <v/>
      </c>
      <c r="Q197">
        <f>IF(E197="","",IF(P197="",COUNTIFS(Action_Register!O:O,"Closed",Action_Register!W:W,"&lt;="&amp;E197),COUNTIFS(Action_Register!O:O,"Closed",Action_Register!W:W,"&gt;"&amp;P197,Action_Register!W:W,"&lt;="&amp;E197)))</f>
        <v/>
      </c>
      <c r="R197">
        <f>IF(E197="","",IF(P197="",COUNTIFS(Action_Register!O:O,"Closed",Action_Register!J:J,"Critical",Action_Register!W:W,"&lt;="&amp;E197),COUNTIFS(Action_Register!O:O,"Closed",Action_Register!J:J,"Critical",Action_Register!W:W,"&gt;"&amp;P197,Action_Register!W:W,"&lt;="&amp;E197)))</f>
        <v/>
      </c>
    </row>
    <row r="198">
      <c r="P198">
        <f>IF(E198="","",IFERROR(OFFSET(E198,-1,0),""))</f>
        <v/>
      </c>
      <c r="Q198">
        <f>IF(E198="","",IF(P198="",COUNTIFS(Action_Register!O:O,"Closed",Action_Register!W:W,"&lt;="&amp;E198),COUNTIFS(Action_Register!O:O,"Closed",Action_Register!W:W,"&gt;"&amp;P198,Action_Register!W:W,"&lt;="&amp;E198)))</f>
        <v/>
      </c>
      <c r="R198">
        <f>IF(E198="","",IF(P198="",COUNTIFS(Action_Register!O:O,"Closed",Action_Register!J:J,"Critical",Action_Register!W:W,"&lt;="&amp;E198),COUNTIFS(Action_Register!O:O,"Closed",Action_Register!J:J,"Critical",Action_Register!W:W,"&gt;"&amp;P198,Action_Register!W:W,"&lt;="&amp;E198)))</f>
        <v/>
      </c>
    </row>
    <row r="199">
      <c r="P199">
        <f>IF(E199="","",IFERROR(OFFSET(E199,-1,0),""))</f>
        <v/>
      </c>
      <c r="Q199">
        <f>IF(E199="","",IF(P199="",COUNTIFS(Action_Register!O:O,"Closed",Action_Register!W:W,"&lt;="&amp;E199),COUNTIFS(Action_Register!O:O,"Closed",Action_Register!W:W,"&gt;"&amp;P199,Action_Register!W:W,"&lt;="&amp;E199)))</f>
        <v/>
      </c>
      <c r="R199">
        <f>IF(E199="","",IF(P199="",COUNTIFS(Action_Register!O:O,"Closed",Action_Register!J:J,"Critical",Action_Register!W:W,"&lt;="&amp;E199),COUNTIFS(Action_Register!O:O,"Closed",Action_Register!J:J,"Critical",Action_Register!W:W,"&gt;"&amp;P199,Action_Register!W:W,"&lt;="&amp;E199)))</f>
        <v/>
      </c>
    </row>
    <row r="200">
      <c r="P200">
        <f>IF(E200="","",IFERROR(OFFSET(E200,-1,0),""))</f>
        <v/>
      </c>
      <c r="Q200">
        <f>IF(E200="","",IF(P200="",COUNTIFS(Action_Register!O:O,"Closed",Action_Register!W:W,"&lt;="&amp;E200),COUNTIFS(Action_Register!O:O,"Closed",Action_Register!W:W,"&gt;"&amp;P200,Action_Register!W:W,"&lt;="&amp;E200)))</f>
        <v/>
      </c>
      <c r="R200">
        <f>IF(E200="","",IF(P200="",COUNTIFS(Action_Register!O:O,"Closed",Action_Register!J:J,"Critical",Action_Register!W:W,"&lt;="&amp;E200),COUNTIFS(Action_Register!O:O,"Closed",Action_Register!J:J,"Critical",Action_Register!W:W,"&gt;"&amp;P200,Action_Register!W:W,"&lt;="&amp;E200)))</f>
        <v/>
      </c>
    </row>
    <row r="201">
      <c r="P201">
        <f>IF(E201="","",IFERROR(OFFSET(E201,-1,0),""))</f>
        <v/>
      </c>
      <c r="Q201">
        <f>IF(E201="","",IF(P201="",COUNTIFS(Action_Register!O:O,"Closed",Action_Register!W:W,"&lt;="&amp;E201),COUNTIFS(Action_Register!O:O,"Closed",Action_Register!W:W,"&gt;"&amp;P201,Action_Register!W:W,"&lt;="&amp;E201)))</f>
        <v/>
      </c>
      <c r="R201">
        <f>IF(E201="","",IF(P201="",COUNTIFS(Action_Register!O:O,"Closed",Action_Register!J:J,"Critical",Action_Register!W:W,"&lt;="&amp;E201),COUNTIFS(Action_Register!O:O,"Closed",Action_Register!J:J,"Critical",Action_Register!W:W,"&gt;"&amp;P201,Action_Register!W:W,"&lt;="&amp;E201)))</f>
        <v/>
      </c>
    </row>
    <row r="202">
      <c r="P202">
        <f>IF(E202="","",IFERROR(OFFSET(E202,-1,0),""))</f>
        <v/>
      </c>
      <c r="Q202">
        <f>IF(E202="","",IF(P202="",COUNTIFS(Action_Register!O:O,"Closed",Action_Register!W:W,"&lt;="&amp;E202),COUNTIFS(Action_Register!O:O,"Closed",Action_Register!W:W,"&gt;"&amp;P202,Action_Register!W:W,"&lt;="&amp;E202)))</f>
        <v/>
      </c>
      <c r="R202">
        <f>IF(E202="","",IF(P202="",COUNTIFS(Action_Register!O:O,"Closed",Action_Register!J:J,"Critical",Action_Register!W:W,"&lt;="&amp;E202),COUNTIFS(Action_Register!O:O,"Closed",Action_Register!J:J,"Critical",Action_Register!W:W,"&gt;"&amp;P202,Action_Register!W:W,"&lt;="&amp;E202)))</f>
        <v/>
      </c>
    </row>
    <row r="203">
      <c r="P203">
        <f>IF(E203="","",IFERROR(OFFSET(E203,-1,0),""))</f>
        <v/>
      </c>
      <c r="Q203">
        <f>IF(E203="","",IF(P203="",COUNTIFS(Action_Register!O:O,"Closed",Action_Register!W:W,"&lt;="&amp;E203),COUNTIFS(Action_Register!O:O,"Closed",Action_Register!W:W,"&gt;"&amp;P203,Action_Register!W:W,"&lt;="&amp;E203)))</f>
        <v/>
      </c>
      <c r="R203">
        <f>IF(E203="","",IF(P203="",COUNTIFS(Action_Register!O:O,"Closed",Action_Register!J:J,"Critical",Action_Register!W:W,"&lt;="&amp;E203),COUNTIFS(Action_Register!O:O,"Closed",Action_Register!J:J,"Critical",Action_Register!W:W,"&gt;"&amp;P203,Action_Register!W:W,"&lt;="&amp;E203)))</f>
        <v/>
      </c>
    </row>
    <row r="204">
      <c r="P204">
        <f>IF(E204="","",IFERROR(OFFSET(E204,-1,0),""))</f>
        <v/>
      </c>
      <c r="Q204">
        <f>IF(E204="","",IF(P204="",COUNTIFS(Action_Register!O:O,"Closed",Action_Register!W:W,"&lt;="&amp;E204),COUNTIFS(Action_Register!O:O,"Closed",Action_Register!W:W,"&gt;"&amp;P204,Action_Register!W:W,"&lt;="&amp;E204)))</f>
        <v/>
      </c>
      <c r="R204">
        <f>IF(E204="","",IF(P204="",COUNTIFS(Action_Register!O:O,"Closed",Action_Register!J:J,"Critical",Action_Register!W:W,"&lt;="&amp;E204),COUNTIFS(Action_Register!O:O,"Closed",Action_Register!J:J,"Critical",Action_Register!W:W,"&gt;"&amp;P204,Action_Register!W:W,"&lt;="&amp;E204)))</f>
        <v/>
      </c>
    </row>
    <row r="205">
      <c r="P205">
        <f>IF(E205="","",IFERROR(OFFSET(E205,-1,0),""))</f>
        <v/>
      </c>
      <c r="Q205">
        <f>IF(E205="","",IF(P205="",COUNTIFS(Action_Register!O:O,"Closed",Action_Register!W:W,"&lt;="&amp;E205),COUNTIFS(Action_Register!O:O,"Closed",Action_Register!W:W,"&gt;"&amp;P205,Action_Register!W:W,"&lt;="&amp;E205)))</f>
        <v/>
      </c>
      <c r="R205">
        <f>IF(E205="","",IF(P205="",COUNTIFS(Action_Register!O:O,"Closed",Action_Register!J:J,"Critical",Action_Register!W:W,"&lt;="&amp;E205),COUNTIFS(Action_Register!O:O,"Closed",Action_Register!J:J,"Critical",Action_Register!W:W,"&gt;"&amp;P205,Action_Register!W:W,"&lt;="&amp;E205)))</f>
        <v/>
      </c>
    </row>
    <row r="206">
      <c r="P206">
        <f>IF(E206="","",IFERROR(OFFSET(E206,-1,0),""))</f>
        <v/>
      </c>
      <c r="Q206">
        <f>IF(E206="","",IF(P206="",COUNTIFS(Action_Register!O:O,"Closed",Action_Register!W:W,"&lt;="&amp;E206),COUNTIFS(Action_Register!O:O,"Closed",Action_Register!W:W,"&gt;"&amp;P206,Action_Register!W:W,"&lt;="&amp;E206)))</f>
        <v/>
      </c>
      <c r="R206">
        <f>IF(E206="","",IF(P206="",COUNTIFS(Action_Register!O:O,"Closed",Action_Register!J:J,"Critical",Action_Register!W:W,"&lt;="&amp;E206),COUNTIFS(Action_Register!O:O,"Closed",Action_Register!J:J,"Critical",Action_Register!W:W,"&gt;"&amp;P206,Action_Register!W:W,"&lt;="&amp;E206)))</f>
        <v/>
      </c>
    </row>
    <row r="207">
      <c r="P207">
        <f>IF(E207="","",IFERROR(OFFSET(E207,-1,0),""))</f>
        <v/>
      </c>
      <c r="Q207">
        <f>IF(E207="","",IF(P207="",COUNTIFS(Action_Register!O:O,"Closed",Action_Register!W:W,"&lt;="&amp;E207),COUNTIFS(Action_Register!O:O,"Closed",Action_Register!W:W,"&gt;"&amp;P207,Action_Register!W:W,"&lt;="&amp;E207)))</f>
        <v/>
      </c>
      <c r="R207">
        <f>IF(E207="","",IF(P207="",COUNTIFS(Action_Register!O:O,"Closed",Action_Register!J:J,"Critical",Action_Register!W:W,"&lt;="&amp;E207),COUNTIFS(Action_Register!O:O,"Closed",Action_Register!J:J,"Critical",Action_Register!W:W,"&gt;"&amp;P207,Action_Register!W:W,"&lt;="&amp;E207)))</f>
        <v/>
      </c>
    </row>
    <row r="208">
      <c r="P208">
        <f>IF(E208="","",IFERROR(OFFSET(E208,-1,0),""))</f>
        <v/>
      </c>
      <c r="Q208">
        <f>IF(E208="","",IF(P208="",COUNTIFS(Action_Register!O:O,"Closed",Action_Register!W:W,"&lt;="&amp;E208),COUNTIFS(Action_Register!O:O,"Closed",Action_Register!W:W,"&gt;"&amp;P208,Action_Register!W:W,"&lt;="&amp;E208)))</f>
        <v/>
      </c>
      <c r="R208">
        <f>IF(E208="","",IF(P208="",COUNTIFS(Action_Register!O:O,"Closed",Action_Register!J:J,"Critical",Action_Register!W:W,"&lt;="&amp;E208),COUNTIFS(Action_Register!O:O,"Closed",Action_Register!J:J,"Critical",Action_Register!W:W,"&gt;"&amp;P208,Action_Register!W:W,"&lt;="&amp;E208)))</f>
        <v/>
      </c>
    </row>
    <row r="209">
      <c r="P209">
        <f>IF(E209="","",IFERROR(OFFSET(E209,-1,0),""))</f>
        <v/>
      </c>
      <c r="Q209">
        <f>IF(E209="","",IF(P209="",COUNTIFS(Action_Register!O:O,"Closed",Action_Register!W:W,"&lt;="&amp;E209),COUNTIFS(Action_Register!O:O,"Closed",Action_Register!W:W,"&gt;"&amp;P209,Action_Register!W:W,"&lt;="&amp;E209)))</f>
        <v/>
      </c>
      <c r="R209">
        <f>IF(E209="","",IF(P209="",COUNTIFS(Action_Register!O:O,"Closed",Action_Register!J:J,"Critical",Action_Register!W:W,"&lt;="&amp;E209),COUNTIFS(Action_Register!O:O,"Closed",Action_Register!J:J,"Critical",Action_Register!W:W,"&gt;"&amp;P209,Action_Register!W:W,"&lt;="&amp;E209)))</f>
        <v/>
      </c>
    </row>
    <row r="210">
      <c r="P210">
        <f>IF(E210="","",IFERROR(OFFSET(E210,-1,0),""))</f>
        <v/>
      </c>
      <c r="Q210">
        <f>IF(E210="","",IF(P210="",COUNTIFS(Action_Register!O:O,"Closed",Action_Register!W:W,"&lt;="&amp;E210),COUNTIFS(Action_Register!O:O,"Closed",Action_Register!W:W,"&gt;"&amp;P210,Action_Register!W:W,"&lt;="&amp;E210)))</f>
        <v/>
      </c>
      <c r="R210">
        <f>IF(E210="","",IF(P210="",COUNTIFS(Action_Register!O:O,"Closed",Action_Register!J:J,"Critical",Action_Register!W:W,"&lt;="&amp;E210),COUNTIFS(Action_Register!O:O,"Closed",Action_Register!J:J,"Critical",Action_Register!W:W,"&gt;"&amp;P210,Action_Register!W:W,"&lt;="&amp;E210)))</f>
        <v/>
      </c>
    </row>
    <row r="211">
      <c r="P211">
        <f>IF(E211="","",IFERROR(OFFSET(E211,-1,0),""))</f>
        <v/>
      </c>
      <c r="Q211">
        <f>IF(E211="","",IF(P211="",COUNTIFS(Action_Register!O:O,"Closed",Action_Register!W:W,"&lt;="&amp;E211),COUNTIFS(Action_Register!O:O,"Closed",Action_Register!W:W,"&gt;"&amp;P211,Action_Register!W:W,"&lt;="&amp;E211)))</f>
        <v/>
      </c>
      <c r="R211">
        <f>IF(E211="","",IF(P211="",COUNTIFS(Action_Register!O:O,"Closed",Action_Register!J:J,"Critical",Action_Register!W:W,"&lt;="&amp;E211),COUNTIFS(Action_Register!O:O,"Closed",Action_Register!J:J,"Critical",Action_Register!W:W,"&gt;"&amp;P211,Action_Register!W:W,"&lt;="&amp;E211)))</f>
        <v/>
      </c>
    </row>
    <row r="212">
      <c r="P212">
        <f>IF(E212="","",IFERROR(OFFSET(E212,-1,0),""))</f>
        <v/>
      </c>
      <c r="Q212">
        <f>IF(E212="","",IF(P212="",COUNTIFS(Action_Register!O:O,"Closed",Action_Register!W:W,"&lt;="&amp;E212),COUNTIFS(Action_Register!O:O,"Closed",Action_Register!W:W,"&gt;"&amp;P212,Action_Register!W:W,"&lt;="&amp;E212)))</f>
        <v/>
      </c>
      <c r="R212">
        <f>IF(E212="","",IF(P212="",COUNTIFS(Action_Register!O:O,"Closed",Action_Register!J:J,"Critical",Action_Register!W:W,"&lt;="&amp;E212),COUNTIFS(Action_Register!O:O,"Closed",Action_Register!J:J,"Critical",Action_Register!W:W,"&gt;"&amp;P212,Action_Register!W:W,"&lt;="&amp;E212)))</f>
        <v/>
      </c>
    </row>
    <row r="213">
      <c r="P213">
        <f>IF(E213="","",IFERROR(OFFSET(E213,-1,0),""))</f>
        <v/>
      </c>
      <c r="Q213">
        <f>IF(E213="","",IF(P213="",COUNTIFS(Action_Register!O:O,"Closed",Action_Register!W:W,"&lt;="&amp;E213),COUNTIFS(Action_Register!O:O,"Closed",Action_Register!W:W,"&gt;"&amp;P213,Action_Register!W:W,"&lt;="&amp;E213)))</f>
        <v/>
      </c>
      <c r="R213">
        <f>IF(E213="","",IF(P213="",COUNTIFS(Action_Register!O:O,"Closed",Action_Register!J:J,"Critical",Action_Register!W:W,"&lt;="&amp;E213),COUNTIFS(Action_Register!O:O,"Closed",Action_Register!J:J,"Critical",Action_Register!W:W,"&gt;"&amp;P213,Action_Register!W:W,"&lt;="&amp;E213)))</f>
        <v/>
      </c>
    </row>
    <row r="214">
      <c r="P214">
        <f>IF(E214="","",IFERROR(OFFSET(E214,-1,0),""))</f>
        <v/>
      </c>
      <c r="Q214">
        <f>IF(E214="","",IF(P214="",COUNTIFS(Action_Register!O:O,"Closed",Action_Register!W:W,"&lt;="&amp;E214),COUNTIFS(Action_Register!O:O,"Closed",Action_Register!W:W,"&gt;"&amp;P214,Action_Register!W:W,"&lt;="&amp;E214)))</f>
        <v/>
      </c>
      <c r="R214">
        <f>IF(E214="","",IF(P214="",COUNTIFS(Action_Register!O:O,"Closed",Action_Register!J:J,"Critical",Action_Register!W:W,"&lt;="&amp;E214),COUNTIFS(Action_Register!O:O,"Closed",Action_Register!J:J,"Critical",Action_Register!W:W,"&gt;"&amp;P214,Action_Register!W:W,"&lt;="&amp;E214)))</f>
        <v/>
      </c>
    </row>
    <row r="215">
      <c r="P215">
        <f>IF(E215="","",IFERROR(OFFSET(E215,-1,0),""))</f>
        <v/>
      </c>
      <c r="Q215">
        <f>IF(E215="","",IF(P215="",COUNTIFS(Action_Register!O:O,"Closed",Action_Register!W:W,"&lt;="&amp;E215),COUNTIFS(Action_Register!O:O,"Closed",Action_Register!W:W,"&gt;"&amp;P215,Action_Register!W:W,"&lt;="&amp;E215)))</f>
        <v/>
      </c>
      <c r="R215">
        <f>IF(E215="","",IF(P215="",COUNTIFS(Action_Register!O:O,"Closed",Action_Register!J:J,"Critical",Action_Register!W:W,"&lt;="&amp;E215),COUNTIFS(Action_Register!O:O,"Closed",Action_Register!J:J,"Critical",Action_Register!W:W,"&gt;"&amp;P215,Action_Register!W:W,"&lt;="&amp;E215)))</f>
        <v/>
      </c>
    </row>
    <row r="216">
      <c r="P216">
        <f>IF(E216="","",IFERROR(OFFSET(E216,-1,0),""))</f>
        <v/>
      </c>
      <c r="Q216">
        <f>IF(E216="","",IF(P216="",COUNTIFS(Action_Register!O:O,"Closed",Action_Register!W:W,"&lt;="&amp;E216),COUNTIFS(Action_Register!O:O,"Closed",Action_Register!W:W,"&gt;"&amp;P216,Action_Register!W:W,"&lt;="&amp;E216)))</f>
        <v/>
      </c>
      <c r="R216">
        <f>IF(E216="","",IF(P216="",COUNTIFS(Action_Register!O:O,"Closed",Action_Register!J:J,"Critical",Action_Register!W:W,"&lt;="&amp;E216),COUNTIFS(Action_Register!O:O,"Closed",Action_Register!J:J,"Critical",Action_Register!W:W,"&gt;"&amp;P216,Action_Register!W:W,"&lt;="&amp;E216)))</f>
        <v/>
      </c>
    </row>
    <row r="217">
      <c r="P217">
        <f>IF(E217="","",IFERROR(OFFSET(E217,-1,0),""))</f>
        <v/>
      </c>
      <c r="Q217">
        <f>IF(E217="","",IF(P217="",COUNTIFS(Action_Register!O:O,"Closed",Action_Register!W:W,"&lt;="&amp;E217),COUNTIFS(Action_Register!O:O,"Closed",Action_Register!W:W,"&gt;"&amp;P217,Action_Register!W:W,"&lt;="&amp;E217)))</f>
        <v/>
      </c>
      <c r="R217">
        <f>IF(E217="","",IF(P217="",COUNTIFS(Action_Register!O:O,"Closed",Action_Register!J:J,"Critical",Action_Register!W:W,"&lt;="&amp;E217),COUNTIFS(Action_Register!O:O,"Closed",Action_Register!J:J,"Critical",Action_Register!W:W,"&gt;"&amp;P217,Action_Register!W:W,"&lt;="&amp;E217)))</f>
        <v/>
      </c>
    </row>
    <row r="218">
      <c r="P218">
        <f>IF(E218="","",IFERROR(OFFSET(E218,-1,0),""))</f>
        <v/>
      </c>
      <c r="Q218">
        <f>IF(E218="","",IF(P218="",COUNTIFS(Action_Register!O:O,"Closed",Action_Register!W:W,"&lt;="&amp;E218),COUNTIFS(Action_Register!O:O,"Closed",Action_Register!W:W,"&gt;"&amp;P218,Action_Register!W:W,"&lt;="&amp;E218)))</f>
        <v/>
      </c>
      <c r="R218">
        <f>IF(E218="","",IF(P218="",COUNTIFS(Action_Register!O:O,"Closed",Action_Register!J:J,"Critical",Action_Register!W:W,"&lt;="&amp;E218),COUNTIFS(Action_Register!O:O,"Closed",Action_Register!J:J,"Critical",Action_Register!W:W,"&gt;"&amp;P218,Action_Register!W:W,"&lt;="&amp;E218)))</f>
        <v/>
      </c>
    </row>
    <row r="219">
      <c r="P219">
        <f>IF(E219="","",IFERROR(OFFSET(E219,-1,0),""))</f>
        <v/>
      </c>
      <c r="Q219">
        <f>IF(E219="","",IF(P219="",COUNTIFS(Action_Register!O:O,"Closed",Action_Register!W:W,"&lt;="&amp;E219),COUNTIFS(Action_Register!O:O,"Closed",Action_Register!W:W,"&gt;"&amp;P219,Action_Register!W:W,"&lt;="&amp;E219)))</f>
        <v/>
      </c>
      <c r="R219">
        <f>IF(E219="","",IF(P219="",COUNTIFS(Action_Register!O:O,"Closed",Action_Register!J:J,"Critical",Action_Register!W:W,"&lt;="&amp;E219),COUNTIFS(Action_Register!O:O,"Closed",Action_Register!J:J,"Critical",Action_Register!W:W,"&gt;"&amp;P219,Action_Register!W:W,"&lt;="&amp;E219)))</f>
        <v/>
      </c>
    </row>
    <row r="220">
      <c r="P220">
        <f>IF(E220="","",IFERROR(OFFSET(E220,-1,0),""))</f>
        <v/>
      </c>
      <c r="Q220">
        <f>IF(E220="","",IF(P220="",COUNTIFS(Action_Register!O:O,"Closed",Action_Register!W:W,"&lt;="&amp;E220),COUNTIFS(Action_Register!O:O,"Closed",Action_Register!W:W,"&gt;"&amp;P220,Action_Register!W:W,"&lt;="&amp;E220)))</f>
        <v/>
      </c>
      <c r="R220">
        <f>IF(E220="","",IF(P220="",COUNTIFS(Action_Register!O:O,"Closed",Action_Register!J:J,"Critical",Action_Register!W:W,"&lt;="&amp;E220),COUNTIFS(Action_Register!O:O,"Closed",Action_Register!J:J,"Critical",Action_Register!W:W,"&gt;"&amp;P220,Action_Register!W:W,"&lt;="&amp;E220)))</f>
        <v/>
      </c>
    </row>
    <row r="221">
      <c r="P221">
        <f>IF(E221="","",IFERROR(OFFSET(E221,-1,0),""))</f>
        <v/>
      </c>
      <c r="Q221">
        <f>IF(E221="","",IF(P221="",COUNTIFS(Action_Register!O:O,"Closed",Action_Register!W:W,"&lt;="&amp;E221),COUNTIFS(Action_Register!O:O,"Closed",Action_Register!W:W,"&gt;"&amp;P221,Action_Register!W:W,"&lt;="&amp;E221)))</f>
        <v/>
      </c>
      <c r="R221">
        <f>IF(E221="","",IF(P221="",COUNTIFS(Action_Register!O:O,"Closed",Action_Register!J:J,"Critical",Action_Register!W:W,"&lt;="&amp;E221),COUNTIFS(Action_Register!O:O,"Closed",Action_Register!J:J,"Critical",Action_Register!W:W,"&gt;"&amp;P221,Action_Register!W:W,"&lt;="&amp;E221)))</f>
        <v/>
      </c>
    </row>
    <row r="222">
      <c r="P222">
        <f>IF(E222="","",IFERROR(OFFSET(E222,-1,0),""))</f>
        <v/>
      </c>
      <c r="Q222">
        <f>IF(E222="","",IF(P222="",COUNTIFS(Action_Register!O:O,"Closed",Action_Register!W:W,"&lt;="&amp;E222),COUNTIFS(Action_Register!O:O,"Closed",Action_Register!W:W,"&gt;"&amp;P222,Action_Register!W:W,"&lt;="&amp;E222)))</f>
        <v/>
      </c>
      <c r="R222">
        <f>IF(E222="","",IF(P222="",COUNTIFS(Action_Register!O:O,"Closed",Action_Register!J:J,"Critical",Action_Register!W:W,"&lt;="&amp;E222),COUNTIFS(Action_Register!O:O,"Closed",Action_Register!J:J,"Critical",Action_Register!W:W,"&gt;"&amp;P222,Action_Register!W:W,"&lt;="&amp;E222)))</f>
        <v/>
      </c>
    </row>
    <row r="223">
      <c r="P223">
        <f>IF(E223="","",IFERROR(OFFSET(E223,-1,0),""))</f>
        <v/>
      </c>
      <c r="Q223">
        <f>IF(E223="","",IF(P223="",COUNTIFS(Action_Register!O:O,"Closed",Action_Register!W:W,"&lt;="&amp;E223),COUNTIFS(Action_Register!O:O,"Closed",Action_Register!W:W,"&gt;"&amp;P223,Action_Register!W:W,"&lt;="&amp;E223)))</f>
        <v/>
      </c>
      <c r="R223">
        <f>IF(E223="","",IF(P223="",COUNTIFS(Action_Register!O:O,"Closed",Action_Register!J:J,"Critical",Action_Register!W:W,"&lt;="&amp;E223),COUNTIFS(Action_Register!O:O,"Closed",Action_Register!J:J,"Critical",Action_Register!W:W,"&gt;"&amp;P223,Action_Register!W:W,"&lt;="&amp;E223)))</f>
        <v/>
      </c>
    </row>
    <row r="224">
      <c r="P224">
        <f>IF(E224="","",IFERROR(OFFSET(E224,-1,0),""))</f>
        <v/>
      </c>
      <c r="Q224">
        <f>IF(E224="","",IF(P224="",COUNTIFS(Action_Register!O:O,"Closed",Action_Register!W:W,"&lt;="&amp;E224),COUNTIFS(Action_Register!O:O,"Closed",Action_Register!W:W,"&gt;"&amp;P224,Action_Register!W:W,"&lt;="&amp;E224)))</f>
        <v/>
      </c>
      <c r="R224">
        <f>IF(E224="","",IF(P224="",COUNTIFS(Action_Register!O:O,"Closed",Action_Register!J:J,"Critical",Action_Register!W:W,"&lt;="&amp;E224),COUNTIFS(Action_Register!O:O,"Closed",Action_Register!J:J,"Critical",Action_Register!W:W,"&gt;"&amp;P224,Action_Register!W:W,"&lt;="&amp;E224)))</f>
        <v/>
      </c>
    </row>
    <row r="225">
      <c r="P225">
        <f>IF(E225="","",IFERROR(OFFSET(E225,-1,0),""))</f>
        <v/>
      </c>
      <c r="Q225">
        <f>IF(E225="","",IF(P225="",COUNTIFS(Action_Register!O:O,"Closed",Action_Register!W:W,"&lt;="&amp;E225),COUNTIFS(Action_Register!O:O,"Closed",Action_Register!W:W,"&gt;"&amp;P225,Action_Register!W:W,"&lt;="&amp;E225)))</f>
        <v/>
      </c>
      <c r="R225">
        <f>IF(E225="","",IF(P225="",COUNTIFS(Action_Register!O:O,"Closed",Action_Register!J:J,"Critical",Action_Register!W:W,"&lt;="&amp;E225),COUNTIFS(Action_Register!O:O,"Closed",Action_Register!J:J,"Critical",Action_Register!W:W,"&gt;"&amp;P225,Action_Register!W:W,"&lt;="&amp;E225)))</f>
        <v/>
      </c>
    </row>
    <row r="226">
      <c r="P226">
        <f>IF(E226="","",IFERROR(OFFSET(E226,-1,0),""))</f>
        <v/>
      </c>
      <c r="Q226">
        <f>IF(E226="","",IF(P226="",COUNTIFS(Action_Register!O:O,"Closed",Action_Register!W:W,"&lt;="&amp;E226),COUNTIFS(Action_Register!O:O,"Closed",Action_Register!W:W,"&gt;"&amp;P226,Action_Register!W:W,"&lt;="&amp;E226)))</f>
        <v/>
      </c>
      <c r="R226">
        <f>IF(E226="","",IF(P226="",COUNTIFS(Action_Register!O:O,"Closed",Action_Register!J:J,"Critical",Action_Register!W:W,"&lt;="&amp;E226),COUNTIFS(Action_Register!O:O,"Closed",Action_Register!J:J,"Critical",Action_Register!W:W,"&gt;"&amp;P226,Action_Register!W:W,"&lt;="&amp;E226)))</f>
        <v/>
      </c>
    </row>
    <row r="227">
      <c r="P227">
        <f>IF(E227="","",IFERROR(OFFSET(E227,-1,0),""))</f>
        <v/>
      </c>
      <c r="Q227">
        <f>IF(E227="","",IF(P227="",COUNTIFS(Action_Register!O:O,"Closed",Action_Register!W:W,"&lt;="&amp;E227),COUNTIFS(Action_Register!O:O,"Closed",Action_Register!W:W,"&gt;"&amp;P227,Action_Register!W:W,"&lt;="&amp;E227)))</f>
        <v/>
      </c>
      <c r="R227">
        <f>IF(E227="","",IF(P227="",COUNTIFS(Action_Register!O:O,"Closed",Action_Register!J:J,"Critical",Action_Register!W:W,"&lt;="&amp;E227),COUNTIFS(Action_Register!O:O,"Closed",Action_Register!J:J,"Critical",Action_Register!W:W,"&gt;"&amp;P227,Action_Register!W:W,"&lt;="&amp;E227)))</f>
        <v/>
      </c>
    </row>
    <row r="228">
      <c r="P228">
        <f>IF(E228="","",IFERROR(OFFSET(E228,-1,0),""))</f>
        <v/>
      </c>
      <c r="Q228">
        <f>IF(E228="","",IF(P228="",COUNTIFS(Action_Register!O:O,"Closed",Action_Register!W:W,"&lt;="&amp;E228),COUNTIFS(Action_Register!O:O,"Closed",Action_Register!W:W,"&gt;"&amp;P228,Action_Register!W:W,"&lt;="&amp;E228)))</f>
        <v/>
      </c>
      <c r="R228">
        <f>IF(E228="","",IF(P228="",COUNTIFS(Action_Register!O:O,"Closed",Action_Register!J:J,"Critical",Action_Register!W:W,"&lt;="&amp;E228),COUNTIFS(Action_Register!O:O,"Closed",Action_Register!J:J,"Critical",Action_Register!W:W,"&gt;"&amp;P228,Action_Register!W:W,"&lt;="&amp;E228)))</f>
        <v/>
      </c>
    </row>
    <row r="229">
      <c r="P229">
        <f>IF(E229="","",IFERROR(OFFSET(E229,-1,0),""))</f>
        <v/>
      </c>
      <c r="Q229">
        <f>IF(E229="","",IF(P229="",COUNTIFS(Action_Register!O:O,"Closed",Action_Register!W:W,"&lt;="&amp;E229),COUNTIFS(Action_Register!O:O,"Closed",Action_Register!W:W,"&gt;"&amp;P229,Action_Register!W:W,"&lt;="&amp;E229)))</f>
        <v/>
      </c>
      <c r="R229">
        <f>IF(E229="","",IF(P229="",COUNTIFS(Action_Register!O:O,"Closed",Action_Register!J:J,"Critical",Action_Register!W:W,"&lt;="&amp;E229),COUNTIFS(Action_Register!O:O,"Closed",Action_Register!J:J,"Critical",Action_Register!W:W,"&gt;"&amp;P229,Action_Register!W:W,"&lt;="&amp;E229)))</f>
        <v/>
      </c>
    </row>
    <row r="230">
      <c r="P230">
        <f>IF(E230="","",IFERROR(OFFSET(E230,-1,0),""))</f>
        <v/>
      </c>
      <c r="Q230">
        <f>IF(E230="","",IF(P230="",COUNTIFS(Action_Register!O:O,"Closed",Action_Register!W:W,"&lt;="&amp;E230),COUNTIFS(Action_Register!O:O,"Closed",Action_Register!W:W,"&gt;"&amp;P230,Action_Register!W:W,"&lt;="&amp;E230)))</f>
        <v/>
      </c>
      <c r="R230">
        <f>IF(E230="","",IF(P230="",COUNTIFS(Action_Register!O:O,"Closed",Action_Register!J:J,"Critical",Action_Register!W:W,"&lt;="&amp;E230),COUNTIFS(Action_Register!O:O,"Closed",Action_Register!J:J,"Critical",Action_Register!W:W,"&gt;"&amp;P230,Action_Register!W:W,"&lt;="&amp;E230)))</f>
        <v/>
      </c>
    </row>
    <row r="231">
      <c r="P231">
        <f>IF(E231="","",IFERROR(OFFSET(E231,-1,0),""))</f>
        <v/>
      </c>
      <c r="Q231">
        <f>IF(E231="","",IF(P231="",COUNTIFS(Action_Register!O:O,"Closed",Action_Register!W:W,"&lt;="&amp;E231),COUNTIFS(Action_Register!O:O,"Closed",Action_Register!W:W,"&gt;"&amp;P231,Action_Register!W:W,"&lt;="&amp;E231)))</f>
        <v/>
      </c>
      <c r="R231">
        <f>IF(E231="","",IF(P231="",COUNTIFS(Action_Register!O:O,"Closed",Action_Register!J:J,"Critical",Action_Register!W:W,"&lt;="&amp;E231),COUNTIFS(Action_Register!O:O,"Closed",Action_Register!J:J,"Critical",Action_Register!W:W,"&gt;"&amp;P231,Action_Register!W:W,"&lt;="&amp;E231)))</f>
        <v/>
      </c>
    </row>
    <row r="232">
      <c r="P232">
        <f>IF(E232="","",IFERROR(OFFSET(E232,-1,0),""))</f>
        <v/>
      </c>
      <c r="Q232">
        <f>IF(E232="","",IF(P232="",COUNTIFS(Action_Register!O:O,"Closed",Action_Register!W:W,"&lt;="&amp;E232),COUNTIFS(Action_Register!O:O,"Closed",Action_Register!W:W,"&gt;"&amp;P232,Action_Register!W:W,"&lt;="&amp;E232)))</f>
        <v/>
      </c>
      <c r="R232">
        <f>IF(E232="","",IF(P232="",COUNTIFS(Action_Register!O:O,"Closed",Action_Register!J:J,"Critical",Action_Register!W:W,"&lt;="&amp;E232),COUNTIFS(Action_Register!O:O,"Closed",Action_Register!J:J,"Critical",Action_Register!W:W,"&gt;"&amp;P232,Action_Register!W:W,"&lt;="&amp;E232)))</f>
        <v/>
      </c>
    </row>
    <row r="233">
      <c r="P233">
        <f>IF(E233="","",IFERROR(OFFSET(E233,-1,0),""))</f>
        <v/>
      </c>
      <c r="Q233">
        <f>IF(E233="","",IF(P233="",COUNTIFS(Action_Register!O:O,"Closed",Action_Register!W:W,"&lt;="&amp;E233),COUNTIFS(Action_Register!O:O,"Closed",Action_Register!W:W,"&gt;"&amp;P233,Action_Register!W:W,"&lt;="&amp;E233)))</f>
        <v/>
      </c>
      <c r="R233">
        <f>IF(E233="","",IF(P233="",COUNTIFS(Action_Register!O:O,"Closed",Action_Register!J:J,"Critical",Action_Register!W:W,"&lt;="&amp;E233),COUNTIFS(Action_Register!O:O,"Closed",Action_Register!J:J,"Critical",Action_Register!W:W,"&gt;"&amp;P233,Action_Register!W:W,"&lt;="&amp;E233)))</f>
        <v/>
      </c>
    </row>
    <row r="234">
      <c r="P234">
        <f>IF(E234="","",IFERROR(OFFSET(E234,-1,0),""))</f>
        <v/>
      </c>
      <c r="Q234">
        <f>IF(E234="","",IF(P234="",COUNTIFS(Action_Register!O:O,"Closed",Action_Register!W:W,"&lt;="&amp;E234),COUNTIFS(Action_Register!O:O,"Closed",Action_Register!W:W,"&gt;"&amp;P234,Action_Register!W:W,"&lt;="&amp;E234)))</f>
        <v/>
      </c>
      <c r="R234">
        <f>IF(E234="","",IF(P234="",COUNTIFS(Action_Register!O:O,"Closed",Action_Register!J:J,"Critical",Action_Register!W:W,"&lt;="&amp;E234),COUNTIFS(Action_Register!O:O,"Closed",Action_Register!J:J,"Critical",Action_Register!W:W,"&gt;"&amp;P234,Action_Register!W:W,"&lt;="&amp;E234)))</f>
        <v/>
      </c>
    </row>
    <row r="235">
      <c r="P235">
        <f>IF(E235="","",IFERROR(OFFSET(E235,-1,0),""))</f>
        <v/>
      </c>
      <c r="Q235">
        <f>IF(E235="","",IF(P235="",COUNTIFS(Action_Register!O:O,"Closed",Action_Register!W:W,"&lt;="&amp;E235),COUNTIFS(Action_Register!O:O,"Closed",Action_Register!W:W,"&gt;"&amp;P235,Action_Register!W:W,"&lt;="&amp;E235)))</f>
        <v/>
      </c>
      <c r="R235">
        <f>IF(E235="","",IF(P235="",COUNTIFS(Action_Register!O:O,"Closed",Action_Register!J:J,"Critical",Action_Register!W:W,"&lt;="&amp;E235),COUNTIFS(Action_Register!O:O,"Closed",Action_Register!J:J,"Critical",Action_Register!W:W,"&gt;"&amp;P235,Action_Register!W:W,"&lt;="&amp;E235)))</f>
        <v/>
      </c>
    </row>
    <row r="236">
      <c r="P236">
        <f>IF(E236="","",IFERROR(OFFSET(E236,-1,0),""))</f>
        <v/>
      </c>
      <c r="Q236">
        <f>IF(E236="","",IF(P236="",COUNTIFS(Action_Register!O:O,"Closed",Action_Register!W:W,"&lt;="&amp;E236),COUNTIFS(Action_Register!O:O,"Closed",Action_Register!W:W,"&gt;"&amp;P236,Action_Register!W:W,"&lt;="&amp;E236)))</f>
        <v/>
      </c>
      <c r="R236">
        <f>IF(E236="","",IF(P236="",COUNTIFS(Action_Register!O:O,"Closed",Action_Register!J:J,"Critical",Action_Register!W:W,"&lt;="&amp;E236),COUNTIFS(Action_Register!O:O,"Closed",Action_Register!J:J,"Critical",Action_Register!W:W,"&gt;"&amp;P236,Action_Register!W:W,"&lt;="&amp;E236)))</f>
        <v/>
      </c>
    </row>
    <row r="237">
      <c r="P237">
        <f>IF(E237="","",IFERROR(OFFSET(E237,-1,0),""))</f>
        <v/>
      </c>
      <c r="Q237">
        <f>IF(E237="","",IF(P237="",COUNTIFS(Action_Register!O:O,"Closed",Action_Register!W:W,"&lt;="&amp;E237),COUNTIFS(Action_Register!O:O,"Closed",Action_Register!W:W,"&gt;"&amp;P237,Action_Register!W:W,"&lt;="&amp;E237)))</f>
        <v/>
      </c>
      <c r="R237">
        <f>IF(E237="","",IF(P237="",COUNTIFS(Action_Register!O:O,"Closed",Action_Register!J:J,"Critical",Action_Register!W:W,"&lt;="&amp;E237),COUNTIFS(Action_Register!O:O,"Closed",Action_Register!J:J,"Critical",Action_Register!W:W,"&gt;"&amp;P237,Action_Register!W:W,"&lt;="&amp;E237)))</f>
        <v/>
      </c>
    </row>
    <row r="238">
      <c r="P238">
        <f>IF(E238="","",IFERROR(OFFSET(E238,-1,0),""))</f>
        <v/>
      </c>
      <c r="Q238">
        <f>IF(E238="","",IF(P238="",COUNTIFS(Action_Register!O:O,"Closed",Action_Register!W:W,"&lt;="&amp;E238),COUNTIFS(Action_Register!O:O,"Closed",Action_Register!W:W,"&gt;"&amp;P238,Action_Register!W:W,"&lt;="&amp;E238)))</f>
        <v/>
      </c>
      <c r="R238">
        <f>IF(E238="","",IF(P238="",COUNTIFS(Action_Register!O:O,"Closed",Action_Register!J:J,"Critical",Action_Register!W:W,"&lt;="&amp;E238),COUNTIFS(Action_Register!O:O,"Closed",Action_Register!J:J,"Critical",Action_Register!W:W,"&gt;"&amp;P238,Action_Register!W:W,"&lt;="&amp;E238)))</f>
        <v/>
      </c>
    </row>
    <row r="239">
      <c r="P239">
        <f>IF(E239="","",IFERROR(OFFSET(E239,-1,0),""))</f>
        <v/>
      </c>
      <c r="Q239">
        <f>IF(E239="","",IF(P239="",COUNTIFS(Action_Register!O:O,"Closed",Action_Register!W:W,"&lt;="&amp;E239),COUNTIFS(Action_Register!O:O,"Closed",Action_Register!W:W,"&gt;"&amp;P239,Action_Register!W:W,"&lt;="&amp;E239)))</f>
        <v/>
      </c>
      <c r="R239">
        <f>IF(E239="","",IF(P239="",COUNTIFS(Action_Register!O:O,"Closed",Action_Register!J:J,"Critical",Action_Register!W:W,"&lt;="&amp;E239),COUNTIFS(Action_Register!O:O,"Closed",Action_Register!J:J,"Critical",Action_Register!W:W,"&gt;"&amp;P239,Action_Register!W:W,"&lt;="&amp;E239)))</f>
        <v/>
      </c>
    </row>
    <row r="240">
      <c r="P240">
        <f>IF(E240="","",IFERROR(OFFSET(E240,-1,0),""))</f>
        <v/>
      </c>
      <c r="Q240">
        <f>IF(E240="","",IF(P240="",COUNTIFS(Action_Register!O:O,"Closed",Action_Register!W:W,"&lt;="&amp;E240),COUNTIFS(Action_Register!O:O,"Closed",Action_Register!W:W,"&gt;"&amp;P240,Action_Register!W:W,"&lt;="&amp;E240)))</f>
        <v/>
      </c>
      <c r="R240">
        <f>IF(E240="","",IF(P240="",COUNTIFS(Action_Register!O:O,"Closed",Action_Register!J:J,"Critical",Action_Register!W:W,"&lt;="&amp;E240),COUNTIFS(Action_Register!O:O,"Closed",Action_Register!J:J,"Critical",Action_Register!W:W,"&gt;"&amp;P240,Action_Register!W:W,"&lt;="&amp;E240)))</f>
        <v/>
      </c>
    </row>
    <row r="241">
      <c r="P241">
        <f>IF(E241="","",IFERROR(OFFSET(E241,-1,0),""))</f>
        <v/>
      </c>
      <c r="Q241">
        <f>IF(E241="","",IF(P241="",COUNTIFS(Action_Register!O:O,"Closed",Action_Register!W:W,"&lt;="&amp;E241),COUNTIFS(Action_Register!O:O,"Closed",Action_Register!W:W,"&gt;"&amp;P241,Action_Register!W:W,"&lt;="&amp;E241)))</f>
        <v/>
      </c>
      <c r="R241">
        <f>IF(E241="","",IF(P241="",COUNTIFS(Action_Register!O:O,"Closed",Action_Register!J:J,"Critical",Action_Register!W:W,"&lt;="&amp;E241),COUNTIFS(Action_Register!O:O,"Closed",Action_Register!J:J,"Critical",Action_Register!W:W,"&gt;"&amp;P241,Action_Register!W:W,"&lt;="&amp;E241)))</f>
        <v/>
      </c>
    </row>
    <row r="242">
      <c r="P242">
        <f>IF(E242="","",IFERROR(OFFSET(E242,-1,0),""))</f>
        <v/>
      </c>
      <c r="Q242">
        <f>IF(E242="","",IF(P242="",COUNTIFS(Action_Register!O:O,"Closed",Action_Register!W:W,"&lt;="&amp;E242),COUNTIFS(Action_Register!O:O,"Closed",Action_Register!W:W,"&gt;"&amp;P242,Action_Register!W:W,"&lt;="&amp;E242)))</f>
        <v/>
      </c>
      <c r="R242">
        <f>IF(E242="","",IF(P242="",COUNTIFS(Action_Register!O:O,"Closed",Action_Register!J:J,"Critical",Action_Register!W:W,"&lt;="&amp;E242),COUNTIFS(Action_Register!O:O,"Closed",Action_Register!J:J,"Critical",Action_Register!W:W,"&gt;"&amp;P242,Action_Register!W:W,"&lt;="&amp;E242)))</f>
        <v/>
      </c>
    </row>
    <row r="243">
      <c r="P243">
        <f>IF(E243="","",IFERROR(OFFSET(E243,-1,0),""))</f>
        <v/>
      </c>
      <c r="Q243">
        <f>IF(E243="","",IF(P243="",COUNTIFS(Action_Register!O:O,"Closed",Action_Register!W:W,"&lt;="&amp;E243),COUNTIFS(Action_Register!O:O,"Closed",Action_Register!W:W,"&gt;"&amp;P243,Action_Register!W:W,"&lt;="&amp;E243)))</f>
        <v/>
      </c>
      <c r="R243">
        <f>IF(E243="","",IF(P243="",COUNTIFS(Action_Register!O:O,"Closed",Action_Register!J:J,"Critical",Action_Register!W:W,"&lt;="&amp;E243),COUNTIFS(Action_Register!O:O,"Closed",Action_Register!J:J,"Critical",Action_Register!W:W,"&gt;"&amp;P243,Action_Register!W:W,"&lt;="&amp;E243)))</f>
        <v/>
      </c>
    </row>
    <row r="244">
      <c r="P244">
        <f>IF(E244="","",IFERROR(OFFSET(E244,-1,0),""))</f>
        <v/>
      </c>
      <c r="Q244">
        <f>IF(E244="","",IF(P244="",COUNTIFS(Action_Register!O:O,"Closed",Action_Register!W:W,"&lt;="&amp;E244),COUNTIFS(Action_Register!O:O,"Closed",Action_Register!W:W,"&gt;"&amp;P244,Action_Register!W:W,"&lt;="&amp;E244)))</f>
        <v/>
      </c>
      <c r="R244">
        <f>IF(E244="","",IF(P244="",COUNTIFS(Action_Register!O:O,"Closed",Action_Register!J:J,"Critical",Action_Register!W:W,"&lt;="&amp;E244),COUNTIFS(Action_Register!O:O,"Closed",Action_Register!J:J,"Critical",Action_Register!W:W,"&gt;"&amp;P244,Action_Register!W:W,"&lt;="&amp;E244)))</f>
        <v/>
      </c>
    </row>
    <row r="245">
      <c r="P245">
        <f>IF(E245="","",IFERROR(OFFSET(E245,-1,0),""))</f>
        <v/>
      </c>
      <c r="Q245">
        <f>IF(E245="","",IF(P245="",COUNTIFS(Action_Register!O:O,"Closed",Action_Register!W:W,"&lt;="&amp;E245),COUNTIFS(Action_Register!O:O,"Closed",Action_Register!W:W,"&gt;"&amp;P245,Action_Register!W:W,"&lt;="&amp;E245)))</f>
        <v/>
      </c>
      <c r="R245">
        <f>IF(E245="","",IF(P245="",COUNTIFS(Action_Register!O:O,"Closed",Action_Register!J:J,"Critical",Action_Register!W:W,"&lt;="&amp;E245),COUNTIFS(Action_Register!O:O,"Closed",Action_Register!J:J,"Critical",Action_Register!W:W,"&gt;"&amp;P245,Action_Register!W:W,"&lt;="&amp;E245)))</f>
        <v/>
      </c>
    </row>
    <row r="246">
      <c r="P246">
        <f>IF(E246="","",IFERROR(OFFSET(E246,-1,0),""))</f>
        <v/>
      </c>
      <c r="Q246">
        <f>IF(E246="","",IF(P246="",COUNTIFS(Action_Register!O:O,"Closed",Action_Register!W:W,"&lt;="&amp;E246),COUNTIFS(Action_Register!O:O,"Closed",Action_Register!W:W,"&gt;"&amp;P246,Action_Register!W:W,"&lt;="&amp;E246)))</f>
        <v/>
      </c>
      <c r="R246">
        <f>IF(E246="","",IF(P246="",COUNTIFS(Action_Register!O:O,"Closed",Action_Register!J:J,"Critical",Action_Register!W:W,"&lt;="&amp;E246),COUNTIFS(Action_Register!O:O,"Closed",Action_Register!J:J,"Critical",Action_Register!W:W,"&gt;"&amp;P246,Action_Register!W:W,"&lt;="&amp;E246)))</f>
        <v/>
      </c>
    </row>
    <row r="247">
      <c r="P247">
        <f>IF(E247="","",IFERROR(OFFSET(E247,-1,0),""))</f>
        <v/>
      </c>
      <c r="Q247">
        <f>IF(E247="","",IF(P247="",COUNTIFS(Action_Register!O:O,"Closed",Action_Register!W:W,"&lt;="&amp;E247),COUNTIFS(Action_Register!O:O,"Closed",Action_Register!W:W,"&gt;"&amp;P247,Action_Register!W:W,"&lt;="&amp;E247)))</f>
        <v/>
      </c>
      <c r="R247">
        <f>IF(E247="","",IF(P247="",COUNTIFS(Action_Register!O:O,"Closed",Action_Register!J:J,"Critical",Action_Register!W:W,"&lt;="&amp;E247),COUNTIFS(Action_Register!O:O,"Closed",Action_Register!J:J,"Critical",Action_Register!W:W,"&gt;"&amp;P247,Action_Register!W:W,"&lt;="&amp;E247)))</f>
        <v/>
      </c>
    </row>
    <row r="248">
      <c r="P248">
        <f>IF(E248="","",IFERROR(OFFSET(E248,-1,0),""))</f>
        <v/>
      </c>
      <c r="Q248">
        <f>IF(E248="","",IF(P248="",COUNTIFS(Action_Register!O:O,"Closed",Action_Register!W:W,"&lt;="&amp;E248),COUNTIFS(Action_Register!O:O,"Closed",Action_Register!W:W,"&gt;"&amp;P248,Action_Register!W:W,"&lt;="&amp;E248)))</f>
        <v/>
      </c>
      <c r="R248">
        <f>IF(E248="","",IF(P248="",COUNTIFS(Action_Register!O:O,"Closed",Action_Register!J:J,"Critical",Action_Register!W:W,"&lt;="&amp;E248),COUNTIFS(Action_Register!O:O,"Closed",Action_Register!J:J,"Critical",Action_Register!W:W,"&gt;"&amp;P248,Action_Register!W:W,"&lt;="&amp;E248)))</f>
        <v/>
      </c>
    </row>
    <row r="249">
      <c r="P249">
        <f>IF(E249="","",IFERROR(OFFSET(E249,-1,0),""))</f>
        <v/>
      </c>
      <c r="Q249">
        <f>IF(E249="","",IF(P249="",COUNTIFS(Action_Register!O:O,"Closed",Action_Register!W:W,"&lt;="&amp;E249),COUNTIFS(Action_Register!O:O,"Closed",Action_Register!W:W,"&gt;"&amp;P249,Action_Register!W:W,"&lt;="&amp;E249)))</f>
        <v/>
      </c>
      <c r="R249">
        <f>IF(E249="","",IF(P249="",COUNTIFS(Action_Register!O:O,"Closed",Action_Register!J:J,"Critical",Action_Register!W:W,"&lt;="&amp;E249),COUNTIFS(Action_Register!O:O,"Closed",Action_Register!J:J,"Critical",Action_Register!W:W,"&gt;"&amp;P249,Action_Register!W:W,"&lt;="&amp;E249)))</f>
        <v/>
      </c>
    </row>
    <row r="250">
      <c r="P250">
        <f>IF(E250="","",IFERROR(OFFSET(E250,-1,0),""))</f>
        <v/>
      </c>
      <c r="Q250">
        <f>IF(E250="","",IF(P250="",COUNTIFS(Action_Register!O:O,"Closed",Action_Register!W:W,"&lt;="&amp;E250),COUNTIFS(Action_Register!O:O,"Closed",Action_Register!W:W,"&gt;"&amp;P250,Action_Register!W:W,"&lt;="&amp;E250)))</f>
        <v/>
      </c>
      <c r="R250">
        <f>IF(E250="","",IF(P250="",COUNTIFS(Action_Register!O:O,"Closed",Action_Register!J:J,"Critical",Action_Register!W:W,"&lt;="&amp;E250),COUNTIFS(Action_Register!O:O,"Closed",Action_Register!J:J,"Critical",Action_Register!W:W,"&gt;"&amp;P250,Action_Register!W:W,"&lt;="&amp;E250)))</f>
        <v/>
      </c>
    </row>
    <row r="251">
      <c r="P251">
        <f>IF(E251="","",IFERROR(OFFSET(E251,-1,0),""))</f>
        <v/>
      </c>
      <c r="Q251">
        <f>IF(E251="","",IF(P251="",COUNTIFS(Action_Register!O:O,"Closed",Action_Register!W:W,"&lt;="&amp;E251),COUNTIFS(Action_Register!O:O,"Closed",Action_Register!W:W,"&gt;"&amp;P251,Action_Register!W:W,"&lt;="&amp;E251)))</f>
        <v/>
      </c>
      <c r="R251">
        <f>IF(E251="","",IF(P251="",COUNTIFS(Action_Register!O:O,"Closed",Action_Register!J:J,"Critical",Action_Register!W:W,"&lt;="&amp;E251),COUNTIFS(Action_Register!O:O,"Closed",Action_Register!J:J,"Critical",Action_Register!W:W,"&gt;"&amp;P251,Action_Register!W:W,"&lt;="&amp;E251)))</f>
        <v/>
      </c>
    </row>
    <row r="252">
      <c r="P252">
        <f>IF(E252="","",IFERROR(OFFSET(E252,-1,0),""))</f>
        <v/>
      </c>
      <c r="Q252">
        <f>IF(E252="","",IF(P252="",COUNTIFS(Action_Register!O:O,"Closed",Action_Register!W:W,"&lt;="&amp;E252),COUNTIFS(Action_Register!O:O,"Closed",Action_Register!W:W,"&gt;"&amp;P252,Action_Register!W:W,"&lt;="&amp;E252)))</f>
        <v/>
      </c>
      <c r="R252">
        <f>IF(E252="","",IF(P252="",COUNTIFS(Action_Register!O:O,"Closed",Action_Register!J:J,"Critical",Action_Register!W:W,"&lt;="&amp;E252),COUNTIFS(Action_Register!O:O,"Closed",Action_Register!J:J,"Critical",Action_Register!W:W,"&gt;"&amp;P252,Action_Register!W:W,"&lt;="&amp;E252)))</f>
        <v/>
      </c>
    </row>
    <row r="253">
      <c r="P253">
        <f>IF(E253="","",IFERROR(OFFSET(E253,-1,0),""))</f>
        <v/>
      </c>
      <c r="Q253">
        <f>IF(E253="","",IF(P253="",COUNTIFS(Action_Register!O:O,"Closed",Action_Register!W:W,"&lt;="&amp;E253),COUNTIFS(Action_Register!O:O,"Closed",Action_Register!W:W,"&gt;"&amp;P253,Action_Register!W:W,"&lt;="&amp;E253)))</f>
        <v/>
      </c>
      <c r="R253">
        <f>IF(E253="","",IF(P253="",COUNTIFS(Action_Register!O:O,"Closed",Action_Register!J:J,"Critical",Action_Register!W:W,"&lt;="&amp;E253),COUNTIFS(Action_Register!O:O,"Closed",Action_Register!J:J,"Critical",Action_Register!W:W,"&gt;"&amp;P253,Action_Register!W:W,"&lt;="&amp;E253)))</f>
        <v/>
      </c>
    </row>
    <row r="254">
      <c r="P254">
        <f>IF(E254="","",IFERROR(OFFSET(E254,-1,0),""))</f>
        <v/>
      </c>
      <c r="Q254">
        <f>IF(E254="","",IF(P254="",COUNTIFS(Action_Register!O:O,"Closed",Action_Register!W:W,"&lt;="&amp;E254),COUNTIFS(Action_Register!O:O,"Closed",Action_Register!W:W,"&gt;"&amp;P254,Action_Register!W:W,"&lt;="&amp;E254)))</f>
        <v/>
      </c>
      <c r="R254">
        <f>IF(E254="","",IF(P254="",COUNTIFS(Action_Register!O:O,"Closed",Action_Register!J:J,"Critical",Action_Register!W:W,"&lt;="&amp;E254),COUNTIFS(Action_Register!O:O,"Closed",Action_Register!J:J,"Critical",Action_Register!W:W,"&gt;"&amp;P254,Action_Register!W:W,"&lt;="&amp;E254)))</f>
        <v/>
      </c>
    </row>
    <row r="255">
      <c r="P255">
        <f>IF(E255="","",IFERROR(OFFSET(E255,-1,0),""))</f>
        <v/>
      </c>
      <c r="Q255">
        <f>IF(E255="","",IF(P255="",COUNTIFS(Action_Register!O:O,"Closed",Action_Register!W:W,"&lt;="&amp;E255),COUNTIFS(Action_Register!O:O,"Closed",Action_Register!W:W,"&gt;"&amp;P255,Action_Register!W:W,"&lt;="&amp;E255)))</f>
        <v/>
      </c>
      <c r="R255">
        <f>IF(E255="","",IF(P255="",COUNTIFS(Action_Register!O:O,"Closed",Action_Register!J:J,"Critical",Action_Register!W:W,"&lt;="&amp;E255),COUNTIFS(Action_Register!O:O,"Closed",Action_Register!J:J,"Critical",Action_Register!W:W,"&gt;"&amp;P255,Action_Register!W:W,"&lt;="&amp;E255)))</f>
        <v/>
      </c>
    </row>
    <row r="256">
      <c r="P256">
        <f>IF(E256="","",IFERROR(OFFSET(E256,-1,0),""))</f>
        <v/>
      </c>
      <c r="Q256">
        <f>IF(E256="","",IF(P256="",COUNTIFS(Action_Register!O:O,"Closed",Action_Register!W:W,"&lt;="&amp;E256),COUNTIFS(Action_Register!O:O,"Closed",Action_Register!W:W,"&gt;"&amp;P256,Action_Register!W:W,"&lt;="&amp;E256)))</f>
        <v/>
      </c>
      <c r="R256">
        <f>IF(E256="","",IF(P256="",COUNTIFS(Action_Register!O:O,"Closed",Action_Register!J:J,"Critical",Action_Register!W:W,"&lt;="&amp;E256),COUNTIFS(Action_Register!O:O,"Closed",Action_Register!J:J,"Critical",Action_Register!W:W,"&gt;"&amp;P256,Action_Register!W:W,"&lt;="&amp;E256)))</f>
        <v/>
      </c>
    </row>
    <row r="257">
      <c r="P257">
        <f>IF(E257="","",IFERROR(OFFSET(E257,-1,0),""))</f>
        <v/>
      </c>
      <c r="Q257">
        <f>IF(E257="","",IF(P257="",COUNTIFS(Action_Register!O:O,"Closed",Action_Register!W:W,"&lt;="&amp;E257),COUNTIFS(Action_Register!O:O,"Closed",Action_Register!W:W,"&gt;"&amp;P257,Action_Register!W:W,"&lt;="&amp;E257)))</f>
        <v/>
      </c>
      <c r="R257">
        <f>IF(E257="","",IF(P257="",COUNTIFS(Action_Register!O:O,"Closed",Action_Register!J:J,"Critical",Action_Register!W:W,"&lt;="&amp;E257),COUNTIFS(Action_Register!O:O,"Closed",Action_Register!J:J,"Critical",Action_Register!W:W,"&gt;"&amp;P257,Action_Register!W:W,"&lt;="&amp;E257)))</f>
        <v/>
      </c>
    </row>
    <row r="258">
      <c r="P258">
        <f>IF(E258="","",IFERROR(OFFSET(E258,-1,0),""))</f>
        <v/>
      </c>
      <c r="Q258">
        <f>IF(E258="","",IF(P258="",COUNTIFS(Action_Register!O:O,"Closed",Action_Register!W:W,"&lt;="&amp;E258),COUNTIFS(Action_Register!O:O,"Closed",Action_Register!W:W,"&gt;"&amp;P258,Action_Register!W:W,"&lt;="&amp;E258)))</f>
        <v/>
      </c>
      <c r="R258">
        <f>IF(E258="","",IF(P258="",COUNTIFS(Action_Register!O:O,"Closed",Action_Register!J:J,"Critical",Action_Register!W:W,"&lt;="&amp;E258),COUNTIFS(Action_Register!O:O,"Closed",Action_Register!J:J,"Critical",Action_Register!W:W,"&gt;"&amp;P258,Action_Register!W:W,"&lt;="&amp;E258)))</f>
        <v/>
      </c>
    </row>
    <row r="259">
      <c r="P259">
        <f>IF(E259="","",IFERROR(OFFSET(E259,-1,0),""))</f>
        <v/>
      </c>
      <c r="Q259">
        <f>IF(E259="","",IF(P259="",COUNTIFS(Action_Register!O:O,"Closed",Action_Register!W:W,"&lt;="&amp;E259),COUNTIFS(Action_Register!O:O,"Closed",Action_Register!W:W,"&gt;"&amp;P259,Action_Register!W:W,"&lt;="&amp;E259)))</f>
        <v/>
      </c>
      <c r="R259">
        <f>IF(E259="","",IF(P259="",COUNTIFS(Action_Register!O:O,"Closed",Action_Register!J:J,"Critical",Action_Register!W:W,"&lt;="&amp;E259),COUNTIFS(Action_Register!O:O,"Closed",Action_Register!J:J,"Critical",Action_Register!W:W,"&gt;"&amp;P259,Action_Register!W:W,"&lt;="&amp;E259)))</f>
        <v/>
      </c>
    </row>
    <row r="260">
      <c r="P260">
        <f>IF(E260="","",IFERROR(OFFSET(E260,-1,0),""))</f>
        <v/>
      </c>
      <c r="Q260">
        <f>IF(E260="","",IF(P260="",COUNTIFS(Action_Register!O:O,"Closed",Action_Register!W:W,"&lt;="&amp;E260),COUNTIFS(Action_Register!O:O,"Closed",Action_Register!W:W,"&gt;"&amp;P260,Action_Register!W:W,"&lt;="&amp;E260)))</f>
        <v/>
      </c>
      <c r="R260">
        <f>IF(E260="","",IF(P260="",COUNTIFS(Action_Register!O:O,"Closed",Action_Register!J:J,"Critical",Action_Register!W:W,"&lt;="&amp;E260),COUNTIFS(Action_Register!O:O,"Closed",Action_Register!J:J,"Critical",Action_Register!W:W,"&gt;"&amp;P260,Action_Register!W:W,"&lt;="&amp;E260)))</f>
        <v/>
      </c>
    </row>
    <row r="261">
      <c r="P261">
        <f>IF(E261="","",IFERROR(OFFSET(E261,-1,0),""))</f>
        <v/>
      </c>
      <c r="Q261">
        <f>IF(E261="","",IF(P261="",COUNTIFS(Action_Register!O:O,"Closed",Action_Register!W:W,"&lt;="&amp;E261),COUNTIFS(Action_Register!O:O,"Closed",Action_Register!W:W,"&gt;"&amp;P261,Action_Register!W:W,"&lt;="&amp;E261)))</f>
        <v/>
      </c>
      <c r="R261">
        <f>IF(E261="","",IF(P261="",COUNTIFS(Action_Register!O:O,"Closed",Action_Register!J:J,"Critical",Action_Register!W:W,"&lt;="&amp;E261),COUNTIFS(Action_Register!O:O,"Closed",Action_Register!J:J,"Critical",Action_Register!W:W,"&gt;"&amp;P261,Action_Register!W:W,"&lt;="&amp;E261)))</f>
        <v/>
      </c>
    </row>
    <row r="262">
      <c r="P262">
        <f>IF(E262="","",IFERROR(OFFSET(E262,-1,0),""))</f>
        <v/>
      </c>
      <c r="Q262">
        <f>IF(E262="","",IF(P262="",COUNTIFS(Action_Register!O:O,"Closed",Action_Register!W:W,"&lt;="&amp;E262),COUNTIFS(Action_Register!O:O,"Closed",Action_Register!W:W,"&gt;"&amp;P262,Action_Register!W:W,"&lt;="&amp;E262)))</f>
        <v/>
      </c>
      <c r="R262">
        <f>IF(E262="","",IF(P262="",COUNTIFS(Action_Register!O:O,"Closed",Action_Register!J:J,"Critical",Action_Register!W:W,"&lt;="&amp;E262),COUNTIFS(Action_Register!O:O,"Closed",Action_Register!J:J,"Critical",Action_Register!W:W,"&gt;"&amp;P262,Action_Register!W:W,"&lt;="&amp;E262)))</f>
        <v/>
      </c>
    </row>
    <row r="263">
      <c r="P263">
        <f>IF(E263="","",IFERROR(OFFSET(E263,-1,0),""))</f>
        <v/>
      </c>
      <c r="Q263">
        <f>IF(E263="","",IF(P263="",COUNTIFS(Action_Register!O:O,"Closed",Action_Register!W:W,"&lt;="&amp;E263),COUNTIFS(Action_Register!O:O,"Closed",Action_Register!W:W,"&gt;"&amp;P263,Action_Register!W:W,"&lt;="&amp;E263)))</f>
        <v/>
      </c>
      <c r="R263">
        <f>IF(E263="","",IF(P263="",COUNTIFS(Action_Register!O:O,"Closed",Action_Register!J:J,"Critical",Action_Register!W:W,"&lt;="&amp;E263),COUNTIFS(Action_Register!O:O,"Closed",Action_Register!J:J,"Critical",Action_Register!W:W,"&gt;"&amp;P263,Action_Register!W:W,"&lt;="&amp;E263)))</f>
        <v/>
      </c>
    </row>
    <row r="264">
      <c r="P264">
        <f>IF(E264="","",IFERROR(OFFSET(E264,-1,0),""))</f>
        <v/>
      </c>
      <c r="Q264">
        <f>IF(E264="","",IF(P264="",COUNTIFS(Action_Register!O:O,"Closed",Action_Register!W:W,"&lt;="&amp;E264),COUNTIFS(Action_Register!O:O,"Closed",Action_Register!W:W,"&gt;"&amp;P264,Action_Register!W:W,"&lt;="&amp;E264)))</f>
        <v/>
      </c>
      <c r="R264">
        <f>IF(E264="","",IF(P264="",COUNTIFS(Action_Register!O:O,"Closed",Action_Register!J:J,"Critical",Action_Register!W:W,"&lt;="&amp;E264),COUNTIFS(Action_Register!O:O,"Closed",Action_Register!J:J,"Critical",Action_Register!W:W,"&gt;"&amp;P264,Action_Register!W:W,"&lt;="&amp;E264)))</f>
        <v/>
      </c>
    </row>
    <row r="265">
      <c r="P265">
        <f>IF(E265="","",IFERROR(OFFSET(E265,-1,0),""))</f>
        <v/>
      </c>
      <c r="Q265">
        <f>IF(E265="","",IF(P265="",COUNTIFS(Action_Register!O:O,"Closed",Action_Register!W:W,"&lt;="&amp;E265),COUNTIFS(Action_Register!O:O,"Closed",Action_Register!W:W,"&gt;"&amp;P265,Action_Register!W:W,"&lt;="&amp;E265)))</f>
        <v/>
      </c>
      <c r="R265">
        <f>IF(E265="","",IF(P265="",COUNTIFS(Action_Register!O:O,"Closed",Action_Register!J:J,"Critical",Action_Register!W:W,"&lt;="&amp;E265),COUNTIFS(Action_Register!O:O,"Closed",Action_Register!J:J,"Critical",Action_Register!W:W,"&gt;"&amp;P265,Action_Register!W:W,"&lt;="&amp;E265)))</f>
        <v/>
      </c>
    </row>
    <row r="266">
      <c r="P266">
        <f>IF(E266="","",IFERROR(OFFSET(E266,-1,0),""))</f>
        <v/>
      </c>
      <c r="Q266">
        <f>IF(E266="","",IF(P266="",COUNTIFS(Action_Register!O:O,"Closed",Action_Register!W:W,"&lt;="&amp;E266),COUNTIFS(Action_Register!O:O,"Closed",Action_Register!W:W,"&gt;"&amp;P266,Action_Register!W:W,"&lt;="&amp;E266)))</f>
        <v/>
      </c>
      <c r="R266">
        <f>IF(E266="","",IF(P266="",COUNTIFS(Action_Register!O:O,"Closed",Action_Register!J:J,"Critical",Action_Register!W:W,"&lt;="&amp;E266),COUNTIFS(Action_Register!O:O,"Closed",Action_Register!J:J,"Critical",Action_Register!W:W,"&gt;"&amp;P266,Action_Register!W:W,"&lt;="&amp;E266)))</f>
        <v/>
      </c>
    </row>
    <row r="267">
      <c r="P267">
        <f>IF(E267="","",IFERROR(OFFSET(E267,-1,0),""))</f>
        <v/>
      </c>
      <c r="Q267">
        <f>IF(E267="","",IF(P267="",COUNTIFS(Action_Register!O:O,"Closed",Action_Register!W:W,"&lt;="&amp;E267),COUNTIFS(Action_Register!O:O,"Closed",Action_Register!W:W,"&gt;"&amp;P267,Action_Register!W:W,"&lt;="&amp;E267)))</f>
        <v/>
      </c>
      <c r="R267">
        <f>IF(E267="","",IF(P267="",COUNTIFS(Action_Register!O:O,"Closed",Action_Register!J:J,"Critical",Action_Register!W:W,"&lt;="&amp;E267),COUNTIFS(Action_Register!O:O,"Closed",Action_Register!J:J,"Critical",Action_Register!W:W,"&gt;"&amp;P267,Action_Register!W:W,"&lt;="&amp;E267)))</f>
        <v/>
      </c>
    </row>
    <row r="268">
      <c r="P268">
        <f>IF(E268="","",IFERROR(OFFSET(E268,-1,0),""))</f>
        <v/>
      </c>
      <c r="Q268">
        <f>IF(E268="","",IF(P268="",COUNTIFS(Action_Register!O:O,"Closed",Action_Register!W:W,"&lt;="&amp;E268),COUNTIFS(Action_Register!O:O,"Closed",Action_Register!W:W,"&gt;"&amp;P268,Action_Register!W:W,"&lt;="&amp;E268)))</f>
        <v/>
      </c>
      <c r="R268">
        <f>IF(E268="","",IF(P268="",COUNTIFS(Action_Register!O:O,"Closed",Action_Register!J:J,"Critical",Action_Register!W:W,"&lt;="&amp;E268),COUNTIFS(Action_Register!O:O,"Closed",Action_Register!J:J,"Critical",Action_Register!W:W,"&gt;"&amp;P268,Action_Register!W:W,"&lt;="&amp;E268)))</f>
        <v/>
      </c>
    </row>
    <row r="269">
      <c r="P269">
        <f>IF(E269="","",IFERROR(OFFSET(E269,-1,0),""))</f>
        <v/>
      </c>
      <c r="Q269">
        <f>IF(E269="","",IF(P269="",COUNTIFS(Action_Register!O:O,"Closed",Action_Register!W:W,"&lt;="&amp;E269),COUNTIFS(Action_Register!O:O,"Closed",Action_Register!W:W,"&gt;"&amp;P269,Action_Register!W:W,"&lt;="&amp;E269)))</f>
        <v/>
      </c>
      <c r="R269">
        <f>IF(E269="","",IF(P269="",COUNTIFS(Action_Register!O:O,"Closed",Action_Register!J:J,"Critical",Action_Register!W:W,"&lt;="&amp;E269),COUNTIFS(Action_Register!O:O,"Closed",Action_Register!J:J,"Critical",Action_Register!W:W,"&gt;"&amp;P269,Action_Register!W:W,"&lt;="&amp;E269)))</f>
        <v/>
      </c>
    </row>
    <row r="270">
      <c r="P270">
        <f>IF(E270="","",IFERROR(OFFSET(E270,-1,0),""))</f>
        <v/>
      </c>
      <c r="Q270">
        <f>IF(E270="","",IF(P270="",COUNTIFS(Action_Register!O:O,"Closed",Action_Register!W:W,"&lt;="&amp;E270),COUNTIFS(Action_Register!O:O,"Closed",Action_Register!W:W,"&gt;"&amp;P270,Action_Register!W:W,"&lt;="&amp;E270)))</f>
        <v/>
      </c>
      <c r="R270">
        <f>IF(E270="","",IF(P270="",COUNTIFS(Action_Register!O:O,"Closed",Action_Register!J:J,"Critical",Action_Register!W:W,"&lt;="&amp;E270),COUNTIFS(Action_Register!O:O,"Closed",Action_Register!J:J,"Critical",Action_Register!W:W,"&gt;"&amp;P270,Action_Register!W:W,"&lt;="&amp;E270)))</f>
        <v/>
      </c>
    </row>
    <row r="271">
      <c r="P271">
        <f>IF(E271="","",IFERROR(OFFSET(E271,-1,0),""))</f>
        <v/>
      </c>
      <c r="Q271">
        <f>IF(E271="","",IF(P271="",COUNTIFS(Action_Register!O:O,"Closed",Action_Register!W:W,"&lt;="&amp;E271),COUNTIFS(Action_Register!O:O,"Closed",Action_Register!W:W,"&gt;"&amp;P271,Action_Register!W:W,"&lt;="&amp;E271)))</f>
        <v/>
      </c>
      <c r="R271">
        <f>IF(E271="","",IF(P271="",COUNTIFS(Action_Register!O:O,"Closed",Action_Register!J:J,"Critical",Action_Register!W:W,"&lt;="&amp;E271),COUNTIFS(Action_Register!O:O,"Closed",Action_Register!J:J,"Critical",Action_Register!W:W,"&gt;"&amp;P271,Action_Register!W:W,"&lt;="&amp;E271)))</f>
        <v/>
      </c>
    </row>
    <row r="272">
      <c r="P272">
        <f>IF(E272="","",IFERROR(OFFSET(E272,-1,0),""))</f>
        <v/>
      </c>
      <c r="Q272">
        <f>IF(E272="","",IF(P272="",COUNTIFS(Action_Register!O:O,"Closed",Action_Register!W:W,"&lt;="&amp;E272),COUNTIFS(Action_Register!O:O,"Closed",Action_Register!W:W,"&gt;"&amp;P272,Action_Register!W:W,"&lt;="&amp;E272)))</f>
        <v/>
      </c>
      <c r="R272">
        <f>IF(E272="","",IF(P272="",COUNTIFS(Action_Register!O:O,"Closed",Action_Register!J:J,"Critical",Action_Register!W:W,"&lt;="&amp;E272),COUNTIFS(Action_Register!O:O,"Closed",Action_Register!J:J,"Critical",Action_Register!W:W,"&gt;"&amp;P272,Action_Register!W:W,"&lt;="&amp;E272)))</f>
        <v/>
      </c>
    </row>
    <row r="273">
      <c r="P273">
        <f>IF(E273="","",IFERROR(OFFSET(E273,-1,0),""))</f>
        <v/>
      </c>
      <c r="Q273">
        <f>IF(E273="","",IF(P273="",COUNTIFS(Action_Register!O:O,"Closed",Action_Register!W:W,"&lt;="&amp;E273),COUNTIFS(Action_Register!O:O,"Closed",Action_Register!W:W,"&gt;"&amp;P273,Action_Register!W:W,"&lt;="&amp;E273)))</f>
        <v/>
      </c>
      <c r="R273">
        <f>IF(E273="","",IF(P273="",COUNTIFS(Action_Register!O:O,"Closed",Action_Register!J:J,"Critical",Action_Register!W:W,"&lt;="&amp;E273),COUNTIFS(Action_Register!O:O,"Closed",Action_Register!J:J,"Critical",Action_Register!W:W,"&gt;"&amp;P273,Action_Register!W:W,"&lt;="&amp;E273)))</f>
        <v/>
      </c>
    </row>
    <row r="274">
      <c r="P274">
        <f>IF(E274="","",IFERROR(OFFSET(E274,-1,0),""))</f>
        <v/>
      </c>
      <c r="Q274">
        <f>IF(E274="","",IF(P274="",COUNTIFS(Action_Register!O:O,"Closed",Action_Register!W:W,"&lt;="&amp;E274),COUNTIFS(Action_Register!O:O,"Closed",Action_Register!W:W,"&gt;"&amp;P274,Action_Register!W:W,"&lt;="&amp;E274)))</f>
        <v/>
      </c>
      <c r="R274">
        <f>IF(E274="","",IF(P274="",COUNTIFS(Action_Register!O:O,"Closed",Action_Register!J:J,"Critical",Action_Register!W:W,"&lt;="&amp;E274),COUNTIFS(Action_Register!O:O,"Closed",Action_Register!J:J,"Critical",Action_Register!W:W,"&gt;"&amp;P274,Action_Register!W:W,"&lt;="&amp;E274)))</f>
        <v/>
      </c>
    </row>
    <row r="275">
      <c r="P275">
        <f>IF(E275="","",IFERROR(OFFSET(E275,-1,0),""))</f>
        <v/>
      </c>
      <c r="Q275">
        <f>IF(E275="","",IF(P275="",COUNTIFS(Action_Register!O:O,"Closed",Action_Register!W:W,"&lt;="&amp;E275),COUNTIFS(Action_Register!O:O,"Closed",Action_Register!W:W,"&gt;"&amp;P275,Action_Register!W:W,"&lt;="&amp;E275)))</f>
        <v/>
      </c>
      <c r="R275">
        <f>IF(E275="","",IF(P275="",COUNTIFS(Action_Register!O:O,"Closed",Action_Register!J:J,"Critical",Action_Register!W:W,"&lt;="&amp;E275),COUNTIFS(Action_Register!O:O,"Closed",Action_Register!J:J,"Critical",Action_Register!W:W,"&gt;"&amp;P275,Action_Register!W:W,"&lt;="&amp;E275)))</f>
        <v/>
      </c>
    </row>
    <row r="276">
      <c r="P276">
        <f>IF(E276="","",IFERROR(OFFSET(E276,-1,0),""))</f>
        <v/>
      </c>
      <c r="Q276">
        <f>IF(E276="","",IF(P276="",COUNTIFS(Action_Register!O:O,"Closed",Action_Register!W:W,"&lt;="&amp;E276),COUNTIFS(Action_Register!O:O,"Closed",Action_Register!W:W,"&gt;"&amp;P276,Action_Register!W:W,"&lt;="&amp;E276)))</f>
        <v/>
      </c>
      <c r="R276">
        <f>IF(E276="","",IF(P276="",COUNTIFS(Action_Register!O:O,"Closed",Action_Register!J:J,"Critical",Action_Register!W:W,"&lt;="&amp;E276),COUNTIFS(Action_Register!O:O,"Closed",Action_Register!J:J,"Critical",Action_Register!W:W,"&gt;"&amp;P276,Action_Register!W:W,"&lt;="&amp;E276)))</f>
        <v/>
      </c>
    </row>
    <row r="277">
      <c r="P277">
        <f>IF(E277="","",IFERROR(OFFSET(E277,-1,0),""))</f>
        <v/>
      </c>
      <c r="Q277">
        <f>IF(E277="","",IF(P277="",COUNTIFS(Action_Register!O:O,"Closed",Action_Register!W:W,"&lt;="&amp;E277),COUNTIFS(Action_Register!O:O,"Closed",Action_Register!W:W,"&gt;"&amp;P277,Action_Register!W:W,"&lt;="&amp;E277)))</f>
        <v/>
      </c>
      <c r="R277">
        <f>IF(E277="","",IF(P277="",COUNTIFS(Action_Register!O:O,"Closed",Action_Register!J:J,"Critical",Action_Register!W:W,"&lt;="&amp;E277),COUNTIFS(Action_Register!O:O,"Closed",Action_Register!J:J,"Critical",Action_Register!W:W,"&gt;"&amp;P277,Action_Register!W:W,"&lt;="&amp;E277)))</f>
        <v/>
      </c>
    </row>
    <row r="278">
      <c r="P278">
        <f>IF(E278="","",IFERROR(OFFSET(E278,-1,0),""))</f>
        <v/>
      </c>
      <c r="Q278">
        <f>IF(E278="","",IF(P278="",COUNTIFS(Action_Register!O:O,"Closed",Action_Register!W:W,"&lt;="&amp;E278),COUNTIFS(Action_Register!O:O,"Closed",Action_Register!W:W,"&gt;"&amp;P278,Action_Register!W:W,"&lt;="&amp;E278)))</f>
        <v/>
      </c>
      <c r="R278">
        <f>IF(E278="","",IF(P278="",COUNTIFS(Action_Register!O:O,"Closed",Action_Register!J:J,"Critical",Action_Register!W:W,"&lt;="&amp;E278),COUNTIFS(Action_Register!O:O,"Closed",Action_Register!J:J,"Critical",Action_Register!W:W,"&gt;"&amp;P278,Action_Register!W:W,"&lt;="&amp;E278)))</f>
        <v/>
      </c>
    </row>
    <row r="279">
      <c r="P279">
        <f>IF(E279="","",IFERROR(OFFSET(E279,-1,0),""))</f>
        <v/>
      </c>
      <c r="Q279">
        <f>IF(E279="","",IF(P279="",COUNTIFS(Action_Register!O:O,"Closed",Action_Register!W:W,"&lt;="&amp;E279),COUNTIFS(Action_Register!O:O,"Closed",Action_Register!W:W,"&gt;"&amp;P279,Action_Register!W:W,"&lt;="&amp;E279)))</f>
        <v/>
      </c>
      <c r="R279">
        <f>IF(E279="","",IF(P279="",COUNTIFS(Action_Register!O:O,"Closed",Action_Register!J:J,"Critical",Action_Register!W:W,"&lt;="&amp;E279),COUNTIFS(Action_Register!O:O,"Closed",Action_Register!J:J,"Critical",Action_Register!W:W,"&gt;"&amp;P279,Action_Register!W:W,"&lt;="&amp;E279)))</f>
        <v/>
      </c>
    </row>
    <row r="280">
      <c r="P280">
        <f>IF(E280="","",IFERROR(OFFSET(E280,-1,0),""))</f>
        <v/>
      </c>
      <c r="Q280">
        <f>IF(E280="","",IF(P280="",COUNTIFS(Action_Register!O:O,"Closed",Action_Register!W:W,"&lt;="&amp;E280),COUNTIFS(Action_Register!O:O,"Closed",Action_Register!W:W,"&gt;"&amp;P280,Action_Register!W:W,"&lt;="&amp;E280)))</f>
        <v/>
      </c>
      <c r="R280">
        <f>IF(E280="","",IF(P280="",COUNTIFS(Action_Register!O:O,"Closed",Action_Register!J:J,"Critical",Action_Register!W:W,"&lt;="&amp;E280),COUNTIFS(Action_Register!O:O,"Closed",Action_Register!J:J,"Critical",Action_Register!W:W,"&gt;"&amp;P280,Action_Register!W:W,"&lt;="&amp;E280)))</f>
        <v/>
      </c>
    </row>
    <row r="281">
      <c r="P281">
        <f>IF(E281="","",IFERROR(OFFSET(E281,-1,0),""))</f>
        <v/>
      </c>
      <c r="Q281">
        <f>IF(E281="","",IF(P281="",COUNTIFS(Action_Register!O:O,"Closed",Action_Register!W:W,"&lt;="&amp;E281),COUNTIFS(Action_Register!O:O,"Closed",Action_Register!W:W,"&gt;"&amp;P281,Action_Register!W:W,"&lt;="&amp;E281)))</f>
        <v/>
      </c>
      <c r="R281">
        <f>IF(E281="","",IF(P281="",COUNTIFS(Action_Register!O:O,"Closed",Action_Register!J:J,"Critical",Action_Register!W:W,"&lt;="&amp;E281),COUNTIFS(Action_Register!O:O,"Closed",Action_Register!J:J,"Critical",Action_Register!W:W,"&gt;"&amp;P281,Action_Register!W:W,"&lt;="&amp;E281)))</f>
        <v/>
      </c>
    </row>
    <row r="282">
      <c r="P282">
        <f>IF(E282="","",IFERROR(OFFSET(E282,-1,0),""))</f>
        <v/>
      </c>
      <c r="Q282">
        <f>IF(E282="","",IF(P282="",COUNTIFS(Action_Register!O:O,"Closed",Action_Register!W:W,"&lt;="&amp;E282),COUNTIFS(Action_Register!O:O,"Closed",Action_Register!W:W,"&gt;"&amp;P282,Action_Register!W:W,"&lt;="&amp;E282)))</f>
        <v/>
      </c>
      <c r="R282">
        <f>IF(E282="","",IF(P282="",COUNTIFS(Action_Register!O:O,"Closed",Action_Register!J:J,"Critical",Action_Register!W:W,"&lt;="&amp;E282),COUNTIFS(Action_Register!O:O,"Closed",Action_Register!J:J,"Critical",Action_Register!W:W,"&gt;"&amp;P282,Action_Register!W:W,"&lt;="&amp;E282)))</f>
        <v/>
      </c>
    </row>
    <row r="283">
      <c r="P283">
        <f>IF(E283="","",IFERROR(OFFSET(E283,-1,0),""))</f>
        <v/>
      </c>
      <c r="Q283">
        <f>IF(E283="","",IF(P283="",COUNTIFS(Action_Register!O:O,"Closed",Action_Register!W:W,"&lt;="&amp;E283),COUNTIFS(Action_Register!O:O,"Closed",Action_Register!W:W,"&gt;"&amp;P283,Action_Register!W:W,"&lt;="&amp;E283)))</f>
        <v/>
      </c>
      <c r="R283">
        <f>IF(E283="","",IF(P283="",COUNTIFS(Action_Register!O:O,"Closed",Action_Register!J:J,"Critical",Action_Register!W:W,"&lt;="&amp;E283),COUNTIFS(Action_Register!O:O,"Closed",Action_Register!J:J,"Critical",Action_Register!W:W,"&gt;"&amp;P283,Action_Register!W:W,"&lt;="&amp;E283)))</f>
        <v/>
      </c>
    </row>
    <row r="284">
      <c r="P284">
        <f>IF(E284="","",IFERROR(OFFSET(E284,-1,0),""))</f>
        <v/>
      </c>
      <c r="Q284">
        <f>IF(E284="","",IF(P284="",COUNTIFS(Action_Register!O:O,"Closed",Action_Register!W:W,"&lt;="&amp;E284),COUNTIFS(Action_Register!O:O,"Closed",Action_Register!W:W,"&gt;"&amp;P284,Action_Register!W:W,"&lt;="&amp;E284)))</f>
        <v/>
      </c>
      <c r="R284">
        <f>IF(E284="","",IF(P284="",COUNTIFS(Action_Register!O:O,"Closed",Action_Register!J:J,"Critical",Action_Register!W:W,"&lt;="&amp;E284),COUNTIFS(Action_Register!O:O,"Closed",Action_Register!J:J,"Critical",Action_Register!W:W,"&gt;"&amp;P284,Action_Register!W:W,"&lt;="&amp;E284)))</f>
        <v/>
      </c>
    </row>
    <row r="285">
      <c r="P285">
        <f>IF(E285="","",IFERROR(OFFSET(E285,-1,0),""))</f>
        <v/>
      </c>
      <c r="Q285">
        <f>IF(E285="","",IF(P285="",COUNTIFS(Action_Register!O:O,"Closed",Action_Register!W:W,"&lt;="&amp;E285),COUNTIFS(Action_Register!O:O,"Closed",Action_Register!W:W,"&gt;"&amp;P285,Action_Register!W:W,"&lt;="&amp;E285)))</f>
        <v/>
      </c>
      <c r="R285">
        <f>IF(E285="","",IF(P285="",COUNTIFS(Action_Register!O:O,"Closed",Action_Register!J:J,"Critical",Action_Register!W:W,"&lt;="&amp;E285),COUNTIFS(Action_Register!O:O,"Closed",Action_Register!J:J,"Critical",Action_Register!W:W,"&gt;"&amp;P285,Action_Register!W:W,"&lt;="&amp;E285)))</f>
        <v/>
      </c>
    </row>
    <row r="286">
      <c r="P286">
        <f>IF(E286="","",IFERROR(OFFSET(E286,-1,0),""))</f>
        <v/>
      </c>
      <c r="Q286">
        <f>IF(E286="","",IF(P286="",COUNTIFS(Action_Register!O:O,"Closed",Action_Register!W:W,"&lt;="&amp;E286),COUNTIFS(Action_Register!O:O,"Closed",Action_Register!W:W,"&gt;"&amp;P286,Action_Register!W:W,"&lt;="&amp;E286)))</f>
        <v/>
      </c>
      <c r="R286">
        <f>IF(E286="","",IF(P286="",COUNTIFS(Action_Register!O:O,"Closed",Action_Register!J:J,"Critical",Action_Register!W:W,"&lt;="&amp;E286),COUNTIFS(Action_Register!O:O,"Closed",Action_Register!J:J,"Critical",Action_Register!W:W,"&gt;"&amp;P286,Action_Register!W:W,"&lt;="&amp;E286)))</f>
        <v/>
      </c>
    </row>
    <row r="287">
      <c r="P287">
        <f>IF(E287="","",IFERROR(OFFSET(E287,-1,0),""))</f>
        <v/>
      </c>
      <c r="Q287">
        <f>IF(E287="","",IF(P287="",COUNTIFS(Action_Register!O:O,"Closed",Action_Register!W:W,"&lt;="&amp;E287),COUNTIFS(Action_Register!O:O,"Closed",Action_Register!W:W,"&gt;"&amp;P287,Action_Register!W:W,"&lt;="&amp;E287)))</f>
        <v/>
      </c>
      <c r="R287">
        <f>IF(E287="","",IF(P287="",COUNTIFS(Action_Register!O:O,"Closed",Action_Register!J:J,"Critical",Action_Register!W:W,"&lt;="&amp;E287),COUNTIFS(Action_Register!O:O,"Closed",Action_Register!J:J,"Critical",Action_Register!W:W,"&gt;"&amp;P287,Action_Register!W:W,"&lt;="&amp;E287)))</f>
        <v/>
      </c>
    </row>
    <row r="288">
      <c r="P288">
        <f>IF(E288="","",IFERROR(OFFSET(E288,-1,0),""))</f>
        <v/>
      </c>
      <c r="Q288">
        <f>IF(E288="","",IF(P288="",COUNTIFS(Action_Register!O:O,"Closed",Action_Register!W:W,"&lt;="&amp;E288),COUNTIFS(Action_Register!O:O,"Closed",Action_Register!W:W,"&gt;"&amp;P288,Action_Register!W:W,"&lt;="&amp;E288)))</f>
        <v/>
      </c>
      <c r="R288">
        <f>IF(E288="","",IF(P288="",COUNTIFS(Action_Register!O:O,"Closed",Action_Register!J:J,"Critical",Action_Register!W:W,"&lt;="&amp;E288),COUNTIFS(Action_Register!O:O,"Closed",Action_Register!J:J,"Critical",Action_Register!W:W,"&gt;"&amp;P288,Action_Register!W:W,"&lt;="&amp;E288)))</f>
        <v/>
      </c>
    </row>
    <row r="289">
      <c r="P289">
        <f>IF(E289="","",IFERROR(OFFSET(E289,-1,0),""))</f>
        <v/>
      </c>
      <c r="Q289">
        <f>IF(E289="","",IF(P289="",COUNTIFS(Action_Register!O:O,"Closed",Action_Register!W:W,"&lt;="&amp;E289),COUNTIFS(Action_Register!O:O,"Closed",Action_Register!W:W,"&gt;"&amp;P289,Action_Register!W:W,"&lt;="&amp;E289)))</f>
        <v/>
      </c>
      <c r="R289">
        <f>IF(E289="","",IF(P289="",COUNTIFS(Action_Register!O:O,"Closed",Action_Register!J:J,"Critical",Action_Register!W:W,"&lt;="&amp;E289),COUNTIFS(Action_Register!O:O,"Closed",Action_Register!J:J,"Critical",Action_Register!W:W,"&gt;"&amp;P289,Action_Register!W:W,"&lt;="&amp;E289)))</f>
        <v/>
      </c>
    </row>
    <row r="290">
      <c r="P290">
        <f>IF(E290="","",IFERROR(OFFSET(E290,-1,0),""))</f>
        <v/>
      </c>
      <c r="Q290">
        <f>IF(E290="","",IF(P290="",COUNTIFS(Action_Register!O:O,"Closed",Action_Register!W:W,"&lt;="&amp;E290),COUNTIFS(Action_Register!O:O,"Closed",Action_Register!W:W,"&gt;"&amp;P290,Action_Register!W:W,"&lt;="&amp;E290)))</f>
        <v/>
      </c>
      <c r="R290">
        <f>IF(E290="","",IF(P290="",COUNTIFS(Action_Register!O:O,"Closed",Action_Register!J:J,"Critical",Action_Register!W:W,"&lt;="&amp;E290),COUNTIFS(Action_Register!O:O,"Closed",Action_Register!J:J,"Critical",Action_Register!W:W,"&gt;"&amp;P290,Action_Register!W:W,"&lt;="&amp;E290)))</f>
        <v/>
      </c>
    </row>
    <row r="291">
      <c r="P291">
        <f>IF(E291="","",IFERROR(OFFSET(E291,-1,0),""))</f>
        <v/>
      </c>
      <c r="Q291">
        <f>IF(E291="","",IF(P291="",COUNTIFS(Action_Register!O:O,"Closed",Action_Register!W:W,"&lt;="&amp;E291),COUNTIFS(Action_Register!O:O,"Closed",Action_Register!W:W,"&gt;"&amp;P291,Action_Register!W:W,"&lt;="&amp;E291)))</f>
        <v/>
      </c>
      <c r="R291">
        <f>IF(E291="","",IF(P291="",COUNTIFS(Action_Register!O:O,"Closed",Action_Register!J:J,"Critical",Action_Register!W:W,"&lt;="&amp;E291),COUNTIFS(Action_Register!O:O,"Closed",Action_Register!J:J,"Critical",Action_Register!W:W,"&gt;"&amp;P291,Action_Register!W:W,"&lt;="&amp;E291)))</f>
        <v/>
      </c>
    </row>
    <row r="292">
      <c r="P292">
        <f>IF(E292="","",IFERROR(OFFSET(E292,-1,0),""))</f>
        <v/>
      </c>
      <c r="Q292">
        <f>IF(E292="","",IF(P292="",COUNTIFS(Action_Register!O:O,"Closed",Action_Register!W:W,"&lt;="&amp;E292),COUNTIFS(Action_Register!O:O,"Closed",Action_Register!W:W,"&gt;"&amp;P292,Action_Register!W:W,"&lt;="&amp;E292)))</f>
        <v/>
      </c>
      <c r="R292">
        <f>IF(E292="","",IF(P292="",COUNTIFS(Action_Register!O:O,"Closed",Action_Register!J:J,"Critical",Action_Register!W:W,"&lt;="&amp;E292),COUNTIFS(Action_Register!O:O,"Closed",Action_Register!J:J,"Critical",Action_Register!W:W,"&gt;"&amp;P292,Action_Register!W:W,"&lt;="&amp;E292)))</f>
        <v/>
      </c>
    </row>
    <row r="293">
      <c r="P293">
        <f>IF(E293="","",IFERROR(OFFSET(E293,-1,0),""))</f>
        <v/>
      </c>
      <c r="Q293">
        <f>IF(E293="","",IF(P293="",COUNTIFS(Action_Register!O:O,"Closed",Action_Register!W:W,"&lt;="&amp;E293),COUNTIFS(Action_Register!O:O,"Closed",Action_Register!W:W,"&gt;"&amp;P293,Action_Register!W:W,"&lt;="&amp;E293)))</f>
        <v/>
      </c>
      <c r="R293">
        <f>IF(E293="","",IF(P293="",COUNTIFS(Action_Register!O:O,"Closed",Action_Register!J:J,"Critical",Action_Register!W:W,"&lt;="&amp;E293),COUNTIFS(Action_Register!O:O,"Closed",Action_Register!J:J,"Critical",Action_Register!W:W,"&gt;"&amp;P293,Action_Register!W:W,"&lt;="&amp;E293)))</f>
        <v/>
      </c>
    </row>
    <row r="294">
      <c r="P294">
        <f>IF(E294="","",IFERROR(OFFSET(E294,-1,0),""))</f>
        <v/>
      </c>
      <c r="Q294">
        <f>IF(E294="","",IF(P294="",COUNTIFS(Action_Register!O:O,"Closed",Action_Register!W:W,"&lt;="&amp;E294),COUNTIFS(Action_Register!O:O,"Closed",Action_Register!W:W,"&gt;"&amp;P294,Action_Register!W:W,"&lt;="&amp;E294)))</f>
        <v/>
      </c>
      <c r="R294">
        <f>IF(E294="","",IF(P294="",COUNTIFS(Action_Register!O:O,"Closed",Action_Register!J:J,"Critical",Action_Register!W:W,"&lt;="&amp;E294),COUNTIFS(Action_Register!O:O,"Closed",Action_Register!J:J,"Critical",Action_Register!W:W,"&gt;"&amp;P294,Action_Register!W:W,"&lt;="&amp;E294)))</f>
        <v/>
      </c>
    </row>
    <row r="295">
      <c r="P295">
        <f>IF(E295="","",IFERROR(OFFSET(E295,-1,0),""))</f>
        <v/>
      </c>
      <c r="Q295">
        <f>IF(E295="","",IF(P295="",COUNTIFS(Action_Register!O:O,"Closed",Action_Register!W:W,"&lt;="&amp;E295),COUNTIFS(Action_Register!O:O,"Closed",Action_Register!W:W,"&gt;"&amp;P295,Action_Register!W:W,"&lt;="&amp;E295)))</f>
        <v/>
      </c>
      <c r="R295">
        <f>IF(E295="","",IF(P295="",COUNTIFS(Action_Register!O:O,"Closed",Action_Register!J:J,"Critical",Action_Register!W:W,"&lt;="&amp;E295),COUNTIFS(Action_Register!O:O,"Closed",Action_Register!J:J,"Critical",Action_Register!W:W,"&gt;"&amp;P295,Action_Register!W:W,"&lt;="&amp;E295)))</f>
        <v/>
      </c>
    </row>
    <row r="296">
      <c r="P296">
        <f>IF(E296="","",IFERROR(OFFSET(E296,-1,0),""))</f>
        <v/>
      </c>
      <c r="Q296">
        <f>IF(E296="","",IF(P296="",COUNTIFS(Action_Register!O:O,"Closed",Action_Register!W:W,"&lt;="&amp;E296),COUNTIFS(Action_Register!O:O,"Closed",Action_Register!W:W,"&gt;"&amp;P296,Action_Register!W:W,"&lt;="&amp;E296)))</f>
        <v/>
      </c>
      <c r="R296">
        <f>IF(E296="","",IF(P296="",COUNTIFS(Action_Register!O:O,"Closed",Action_Register!J:J,"Critical",Action_Register!W:W,"&lt;="&amp;E296),COUNTIFS(Action_Register!O:O,"Closed",Action_Register!J:J,"Critical",Action_Register!W:W,"&gt;"&amp;P296,Action_Register!W:W,"&lt;="&amp;E296)))</f>
        <v/>
      </c>
    </row>
    <row r="297">
      <c r="P297">
        <f>IF(E297="","",IFERROR(OFFSET(E297,-1,0),""))</f>
        <v/>
      </c>
      <c r="Q297">
        <f>IF(E297="","",IF(P297="",COUNTIFS(Action_Register!O:O,"Closed",Action_Register!W:W,"&lt;="&amp;E297),COUNTIFS(Action_Register!O:O,"Closed",Action_Register!W:W,"&gt;"&amp;P297,Action_Register!W:W,"&lt;="&amp;E297)))</f>
        <v/>
      </c>
      <c r="R297">
        <f>IF(E297="","",IF(P297="",COUNTIFS(Action_Register!O:O,"Closed",Action_Register!J:J,"Critical",Action_Register!W:W,"&lt;="&amp;E297),COUNTIFS(Action_Register!O:O,"Closed",Action_Register!J:J,"Critical",Action_Register!W:W,"&gt;"&amp;P297,Action_Register!W:W,"&lt;="&amp;E297)))</f>
        <v/>
      </c>
    </row>
    <row r="298">
      <c r="P298">
        <f>IF(E298="","",IFERROR(OFFSET(E298,-1,0),""))</f>
        <v/>
      </c>
      <c r="Q298">
        <f>IF(E298="","",IF(P298="",COUNTIFS(Action_Register!O:O,"Closed",Action_Register!W:W,"&lt;="&amp;E298),COUNTIFS(Action_Register!O:O,"Closed",Action_Register!W:W,"&gt;"&amp;P298,Action_Register!W:W,"&lt;="&amp;E298)))</f>
        <v/>
      </c>
      <c r="R298">
        <f>IF(E298="","",IF(P298="",COUNTIFS(Action_Register!O:O,"Closed",Action_Register!J:J,"Critical",Action_Register!W:W,"&lt;="&amp;E298),COUNTIFS(Action_Register!O:O,"Closed",Action_Register!J:J,"Critical",Action_Register!W:W,"&gt;"&amp;P298,Action_Register!W:W,"&lt;="&amp;E298)))</f>
        <v/>
      </c>
    </row>
    <row r="299">
      <c r="P299">
        <f>IF(E299="","",IFERROR(OFFSET(E299,-1,0),""))</f>
        <v/>
      </c>
      <c r="Q299">
        <f>IF(E299="","",IF(P299="",COUNTIFS(Action_Register!O:O,"Closed",Action_Register!W:W,"&lt;="&amp;E299),COUNTIFS(Action_Register!O:O,"Closed",Action_Register!W:W,"&gt;"&amp;P299,Action_Register!W:W,"&lt;="&amp;E299)))</f>
        <v/>
      </c>
      <c r="R299">
        <f>IF(E299="","",IF(P299="",COUNTIFS(Action_Register!O:O,"Closed",Action_Register!J:J,"Critical",Action_Register!W:W,"&lt;="&amp;E299),COUNTIFS(Action_Register!O:O,"Closed",Action_Register!J:J,"Critical",Action_Register!W:W,"&gt;"&amp;P299,Action_Register!W:W,"&lt;="&amp;E299)))</f>
        <v/>
      </c>
    </row>
    <row r="300">
      <c r="P300">
        <f>IF(E300="","",IFERROR(OFFSET(E300,-1,0),""))</f>
        <v/>
      </c>
      <c r="Q300">
        <f>IF(E300="","",IF(P300="",COUNTIFS(Action_Register!O:O,"Closed",Action_Register!W:W,"&lt;="&amp;E300),COUNTIFS(Action_Register!O:O,"Closed",Action_Register!W:W,"&gt;"&amp;P300,Action_Register!W:W,"&lt;="&amp;E300)))</f>
        <v/>
      </c>
      <c r="R300">
        <f>IF(E300="","",IF(P300="",COUNTIFS(Action_Register!O:O,"Closed",Action_Register!J:J,"Critical",Action_Register!W:W,"&lt;="&amp;E300),COUNTIFS(Action_Register!O:O,"Closed",Action_Register!J:J,"Critical",Action_Register!W:W,"&gt;"&amp;P300,Action_Register!W:W,"&lt;="&amp;E300)))</f>
        <v/>
      </c>
    </row>
    <row r="301">
      <c r="P301">
        <f>IF(E301="","",IFERROR(OFFSET(E301,-1,0),""))</f>
        <v/>
      </c>
      <c r="Q301">
        <f>IF(E301="","",IF(P301="",COUNTIFS(Action_Register!O:O,"Closed",Action_Register!W:W,"&lt;="&amp;E301),COUNTIFS(Action_Register!O:O,"Closed",Action_Register!W:W,"&gt;"&amp;P301,Action_Register!W:W,"&lt;="&amp;E301)))</f>
        <v/>
      </c>
      <c r="R301">
        <f>IF(E301="","",IF(P301="",COUNTIFS(Action_Register!O:O,"Closed",Action_Register!J:J,"Critical",Action_Register!W:W,"&lt;="&amp;E301),COUNTIFS(Action_Register!O:O,"Closed",Action_Register!J:J,"Critical",Action_Register!W:W,"&gt;"&amp;P301,Action_Register!W:W,"&lt;="&amp;E301)))</f>
        <v/>
      </c>
    </row>
    <row r="302">
      <c r="P302">
        <f>IF(E302="","",IFERROR(OFFSET(E302,-1,0),""))</f>
        <v/>
      </c>
      <c r="Q302">
        <f>IF(E302="","",IF(P302="",COUNTIFS(Action_Register!O:O,"Closed",Action_Register!W:W,"&lt;="&amp;E302),COUNTIFS(Action_Register!O:O,"Closed",Action_Register!W:W,"&gt;"&amp;P302,Action_Register!W:W,"&lt;="&amp;E302)))</f>
        <v/>
      </c>
      <c r="R302">
        <f>IF(E302="","",IF(P302="",COUNTIFS(Action_Register!O:O,"Closed",Action_Register!J:J,"Critical",Action_Register!W:W,"&lt;="&amp;E302),COUNTIFS(Action_Register!O:O,"Closed",Action_Register!J:J,"Critical",Action_Register!W:W,"&gt;"&amp;P302,Action_Register!W:W,"&lt;="&amp;E302)))</f>
        <v/>
      </c>
    </row>
    <row r="303">
      <c r="P303">
        <f>IF(E303="","",IFERROR(OFFSET(E303,-1,0),""))</f>
        <v/>
      </c>
      <c r="Q303">
        <f>IF(E303="","",IF(P303="",COUNTIFS(Action_Register!O:O,"Closed",Action_Register!W:W,"&lt;="&amp;E303),COUNTIFS(Action_Register!O:O,"Closed",Action_Register!W:W,"&gt;"&amp;P303,Action_Register!W:W,"&lt;="&amp;E303)))</f>
        <v/>
      </c>
      <c r="R303">
        <f>IF(E303="","",IF(P303="",COUNTIFS(Action_Register!O:O,"Closed",Action_Register!J:J,"Critical",Action_Register!W:W,"&lt;="&amp;E303),COUNTIFS(Action_Register!O:O,"Closed",Action_Register!J:J,"Critical",Action_Register!W:W,"&gt;"&amp;P303,Action_Register!W:W,"&lt;="&amp;E303)))</f>
        <v/>
      </c>
    </row>
    <row r="304">
      <c r="P304">
        <f>IF(E304="","",IFERROR(OFFSET(E304,-1,0),""))</f>
        <v/>
      </c>
      <c r="Q304">
        <f>IF(E304="","",IF(P304="",COUNTIFS(Action_Register!O:O,"Closed",Action_Register!W:W,"&lt;="&amp;E304),COUNTIFS(Action_Register!O:O,"Closed",Action_Register!W:W,"&gt;"&amp;P304,Action_Register!W:W,"&lt;="&amp;E304)))</f>
        <v/>
      </c>
      <c r="R304">
        <f>IF(E304="","",IF(P304="",COUNTIFS(Action_Register!O:O,"Closed",Action_Register!J:J,"Critical",Action_Register!W:W,"&lt;="&amp;E304),COUNTIFS(Action_Register!O:O,"Closed",Action_Register!J:J,"Critical",Action_Register!W:W,"&gt;"&amp;P304,Action_Register!W:W,"&lt;="&amp;E304)))</f>
        <v/>
      </c>
    </row>
    <row r="305">
      <c r="P305">
        <f>IF(E305="","",IFERROR(OFFSET(E305,-1,0),""))</f>
        <v/>
      </c>
      <c r="Q305">
        <f>IF(E305="","",IF(P305="",COUNTIFS(Action_Register!O:O,"Closed",Action_Register!W:W,"&lt;="&amp;E305),COUNTIFS(Action_Register!O:O,"Closed",Action_Register!W:W,"&gt;"&amp;P305,Action_Register!W:W,"&lt;="&amp;E305)))</f>
        <v/>
      </c>
      <c r="R305">
        <f>IF(E305="","",IF(P305="",COUNTIFS(Action_Register!O:O,"Closed",Action_Register!J:J,"Critical",Action_Register!W:W,"&lt;="&amp;E305),COUNTIFS(Action_Register!O:O,"Closed",Action_Register!J:J,"Critical",Action_Register!W:W,"&gt;"&amp;P305,Action_Register!W:W,"&lt;="&amp;E305)))</f>
        <v/>
      </c>
    </row>
    <row r="306">
      <c r="P306">
        <f>IF(E306="","",IFERROR(OFFSET(E306,-1,0),""))</f>
        <v/>
      </c>
      <c r="Q306">
        <f>IF(E306="","",IF(P306="",COUNTIFS(Action_Register!O:O,"Closed",Action_Register!W:W,"&lt;="&amp;E306),COUNTIFS(Action_Register!O:O,"Closed",Action_Register!W:W,"&gt;"&amp;P306,Action_Register!W:W,"&lt;="&amp;E306)))</f>
        <v/>
      </c>
      <c r="R306">
        <f>IF(E306="","",IF(P306="",COUNTIFS(Action_Register!O:O,"Closed",Action_Register!J:J,"Critical",Action_Register!W:W,"&lt;="&amp;E306),COUNTIFS(Action_Register!O:O,"Closed",Action_Register!J:J,"Critical",Action_Register!W:W,"&gt;"&amp;P306,Action_Register!W:W,"&lt;="&amp;E306)))</f>
        <v/>
      </c>
    </row>
    <row r="307">
      <c r="P307">
        <f>IF(E307="","",IFERROR(OFFSET(E307,-1,0),""))</f>
        <v/>
      </c>
      <c r="Q307">
        <f>IF(E307="","",IF(P307="",COUNTIFS(Action_Register!O:O,"Closed",Action_Register!W:W,"&lt;="&amp;E307),COUNTIFS(Action_Register!O:O,"Closed",Action_Register!W:W,"&gt;"&amp;P307,Action_Register!W:W,"&lt;="&amp;E307)))</f>
        <v/>
      </c>
      <c r="R307">
        <f>IF(E307="","",IF(P307="",COUNTIFS(Action_Register!O:O,"Closed",Action_Register!J:J,"Critical",Action_Register!W:W,"&lt;="&amp;E307),COUNTIFS(Action_Register!O:O,"Closed",Action_Register!J:J,"Critical",Action_Register!W:W,"&gt;"&amp;P307,Action_Register!W:W,"&lt;="&amp;E307)))</f>
        <v/>
      </c>
    </row>
    <row r="308">
      <c r="P308">
        <f>IF(E308="","",IFERROR(OFFSET(E308,-1,0),""))</f>
        <v/>
      </c>
      <c r="Q308">
        <f>IF(E308="","",IF(P308="",COUNTIFS(Action_Register!O:O,"Closed",Action_Register!W:W,"&lt;="&amp;E308),COUNTIFS(Action_Register!O:O,"Closed",Action_Register!W:W,"&gt;"&amp;P308,Action_Register!W:W,"&lt;="&amp;E308)))</f>
        <v/>
      </c>
      <c r="R308">
        <f>IF(E308="","",IF(P308="",COUNTIFS(Action_Register!O:O,"Closed",Action_Register!J:J,"Critical",Action_Register!W:W,"&lt;="&amp;E308),COUNTIFS(Action_Register!O:O,"Closed",Action_Register!J:J,"Critical",Action_Register!W:W,"&gt;"&amp;P308,Action_Register!W:W,"&lt;="&amp;E308)))</f>
        <v/>
      </c>
    </row>
    <row r="309">
      <c r="P309">
        <f>IF(E309="","",IFERROR(OFFSET(E309,-1,0),""))</f>
        <v/>
      </c>
      <c r="Q309">
        <f>IF(E309="","",IF(P309="",COUNTIFS(Action_Register!O:O,"Closed",Action_Register!W:W,"&lt;="&amp;E309),COUNTIFS(Action_Register!O:O,"Closed",Action_Register!W:W,"&gt;"&amp;P309,Action_Register!W:W,"&lt;="&amp;E309)))</f>
        <v/>
      </c>
      <c r="R309">
        <f>IF(E309="","",IF(P309="",COUNTIFS(Action_Register!O:O,"Closed",Action_Register!J:J,"Critical",Action_Register!W:W,"&lt;="&amp;E309),COUNTIFS(Action_Register!O:O,"Closed",Action_Register!J:J,"Critical",Action_Register!W:W,"&gt;"&amp;P309,Action_Register!W:W,"&lt;="&amp;E309)))</f>
        <v/>
      </c>
    </row>
    <row r="310">
      <c r="P310">
        <f>IF(E310="","",IFERROR(OFFSET(E310,-1,0),""))</f>
        <v/>
      </c>
      <c r="Q310">
        <f>IF(E310="","",IF(P310="",COUNTIFS(Action_Register!O:O,"Closed",Action_Register!W:W,"&lt;="&amp;E310),COUNTIFS(Action_Register!O:O,"Closed",Action_Register!W:W,"&gt;"&amp;P310,Action_Register!W:W,"&lt;="&amp;E310)))</f>
        <v/>
      </c>
      <c r="R310">
        <f>IF(E310="","",IF(P310="",COUNTIFS(Action_Register!O:O,"Closed",Action_Register!J:J,"Critical",Action_Register!W:W,"&lt;="&amp;E310),COUNTIFS(Action_Register!O:O,"Closed",Action_Register!J:J,"Critical",Action_Register!W:W,"&gt;"&amp;P310,Action_Register!W:W,"&lt;="&amp;E310)))</f>
        <v/>
      </c>
    </row>
    <row r="311">
      <c r="P311">
        <f>IF(E311="","",IFERROR(OFFSET(E311,-1,0),""))</f>
        <v/>
      </c>
      <c r="Q311">
        <f>IF(E311="","",IF(P311="",COUNTIFS(Action_Register!O:O,"Closed",Action_Register!W:W,"&lt;="&amp;E311),COUNTIFS(Action_Register!O:O,"Closed",Action_Register!W:W,"&gt;"&amp;P311,Action_Register!W:W,"&lt;="&amp;E311)))</f>
        <v/>
      </c>
      <c r="R311">
        <f>IF(E311="","",IF(P311="",COUNTIFS(Action_Register!O:O,"Closed",Action_Register!J:J,"Critical",Action_Register!W:W,"&lt;="&amp;E311),COUNTIFS(Action_Register!O:O,"Closed",Action_Register!J:J,"Critical",Action_Register!W:W,"&gt;"&amp;P311,Action_Register!W:W,"&lt;="&amp;E311)))</f>
        <v/>
      </c>
    </row>
    <row r="312">
      <c r="P312">
        <f>IF(E312="","",IFERROR(OFFSET(E312,-1,0),""))</f>
        <v/>
      </c>
      <c r="Q312">
        <f>IF(E312="","",IF(P312="",COUNTIFS(Action_Register!O:O,"Closed",Action_Register!W:W,"&lt;="&amp;E312),COUNTIFS(Action_Register!O:O,"Closed",Action_Register!W:W,"&gt;"&amp;P312,Action_Register!W:W,"&lt;="&amp;E312)))</f>
        <v/>
      </c>
      <c r="R312">
        <f>IF(E312="","",IF(P312="",COUNTIFS(Action_Register!O:O,"Closed",Action_Register!J:J,"Critical",Action_Register!W:W,"&lt;="&amp;E312),COUNTIFS(Action_Register!O:O,"Closed",Action_Register!J:J,"Critical",Action_Register!W:W,"&gt;"&amp;P312,Action_Register!W:W,"&lt;="&amp;E312)))</f>
        <v/>
      </c>
    </row>
    <row r="313">
      <c r="P313">
        <f>IF(E313="","",IFERROR(OFFSET(E313,-1,0),""))</f>
        <v/>
      </c>
      <c r="Q313">
        <f>IF(E313="","",IF(P313="",COUNTIFS(Action_Register!O:O,"Closed",Action_Register!W:W,"&lt;="&amp;E313),COUNTIFS(Action_Register!O:O,"Closed",Action_Register!W:W,"&gt;"&amp;P313,Action_Register!W:W,"&lt;="&amp;E313)))</f>
        <v/>
      </c>
      <c r="R313">
        <f>IF(E313="","",IF(P313="",COUNTIFS(Action_Register!O:O,"Closed",Action_Register!J:J,"Critical",Action_Register!W:W,"&lt;="&amp;E313),COUNTIFS(Action_Register!O:O,"Closed",Action_Register!J:J,"Critical",Action_Register!W:W,"&gt;"&amp;P313,Action_Register!W:W,"&lt;="&amp;E313)))</f>
        <v/>
      </c>
    </row>
    <row r="314">
      <c r="P314">
        <f>IF(E314="","",IFERROR(OFFSET(E314,-1,0),""))</f>
        <v/>
      </c>
      <c r="Q314">
        <f>IF(E314="","",IF(P314="",COUNTIFS(Action_Register!O:O,"Closed",Action_Register!W:W,"&lt;="&amp;E314),COUNTIFS(Action_Register!O:O,"Closed",Action_Register!W:W,"&gt;"&amp;P314,Action_Register!W:W,"&lt;="&amp;E314)))</f>
        <v/>
      </c>
      <c r="R314">
        <f>IF(E314="","",IF(P314="",COUNTIFS(Action_Register!O:O,"Closed",Action_Register!J:J,"Critical",Action_Register!W:W,"&lt;="&amp;E314),COUNTIFS(Action_Register!O:O,"Closed",Action_Register!J:J,"Critical",Action_Register!W:W,"&gt;"&amp;P314,Action_Register!W:W,"&lt;="&amp;E314)))</f>
        <v/>
      </c>
    </row>
    <row r="315">
      <c r="P315">
        <f>IF(E315="","",IFERROR(OFFSET(E315,-1,0),""))</f>
        <v/>
      </c>
      <c r="Q315">
        <f>IF(E315="","",IF(P315="",COUNTIFS(Action_Register!O:O,"Closed",Action_Register!W:W,"&lt;="&amp;E315),COUNTIFS(Action_Register!O:O,"Closed",Action_Register!W:W,"&gt;"&amp;P315,Action_Register!W:W,"&lt;="&amp;E315)))</f>
        <v/>
      </c>
      <c r="R315">
        <f>IF(E315="","",IF(P315="",COUNTIFS(Action_Register!O:O,"Closed",Action_Register!J:J,"Critical",Action_Register!W:W,"&lt;="&amp;E315),COUNTIFS(Action_Register!O:O,"Closed",Action_Register!J:J,"Critical",Action_Register!W:W,"&gt;"&amp;P315,Action_Register!W:W,"&lt;="&amp;E315)))</f>
        <v/>
      </c>
    </row>
    <row r="316">
      <c r="P316">
        <f>IF(E316="","",IFERROR(OFFSET(E316,-1,0),""))</f>
        <v/>
      </c>
      <c r="Q316">
        <f>IF(E316="","",IF(P316="",COUNTIFS(Action_Register!O:O,"Closed",Action_Register!W:W,"&lt;="&amp;E316),COUNTIFS(Action_Register!O:O,"Closed",Action_Register!W:W,"&gt;"&amp;P316,Action_Register!W:W,"&lt;="&amp;E316)))</f>
        <v/>
      </c>
      <c r="R316">
        <f>IF(E316="","",IF(P316="",COUNTIFS(Action_Register!O:O,"Closed",Action_Register!J:J,"Critical",Action_Register!W:W,"&lt;="&amp;E316),COUNTIFS(Action_Register!O:O,"Closed",Action_Register!J:J,"Critical",Action_Register!W:W,"&gt;"&amp;P316,Action_Register!W:W,"&lt;="&amp;E316)))</f>
        <v/>
      </c>
    </row>
    <row r="317">
      <c r="P317">
        <f>IF(E317="","",IFERROR(OFFSET(E317,-1,0),""))</f>
        <v/>
      </c>
      <c r="Q317">
        <f>IF(E317="","",IF(P317="",COUNTIFS(Action_Register!O:O,"Closed",Action_Register!W:W,"&lt;="&amp;E317),COUNTIFS(Action_Register!O:O,"Closed",Action_Register!W:W,"&gt;"&amp;P317,Action_Register!W:W,"&lt;="&amp;E317)))</f>
        <v/>
      </c>
      <c r="R317">
        <f>IF(E317="","",IF(P317="",COUNTIFS(Action_Register!O:O,"Closed",Action_Register!J:J,"Critical",Action_Register!W:W,"&lt;="&amp;E317),COUNTIFS(Action_Register!O:O,"Closed",Action_Register!J:J,"Critical",Action_Register!W:W,"&gt;"&amp;P317,Action_Register!W:W,"&lt;="&amp;E317)))</f>
        <v/>
      </c>
    </row>
    <row r="318">
      <c r="P318">
        <f>IF(E318="","",IFERROR(OFFSET(E318,-1,0),""))</f>
        <v/>
      </c>
      <c r="Q318">
        <f>IF(E318="","",IF(P318="",COUNTIFS(Action_Register!O:O,"Closed",Action_Register!W:W,"&lt;="&amp;E318),COUNTIFS(Action_Register!O:O,"Closed",Action_Register!W:W,"&gt;"&amp;P318,Action_Register!W:W,"&lt;="&amp;E318)))</f>
        <v/>
      </c>
      <c r="R318">
        <f>IF(E318="","",IF(P318="",COUNTIFS(Action_Register!O:O,"Closed",Action_Register!J:J,"Critical",Action_Register!W:W,"&lt;="&amp;E318),COUNTIFS(Action_Register!O:O,"Closed",Action_Register!J:J,"Critical",Action_Register!W:W,"&gt;"&amp;P318,Action_Register!W:W,"&lt;="&amp;E318)))</f>
        <v/>
      </c>
    </row>
    <row r="319">
      <c r="P319">
        <f>IF(E319="","",IFERROR(OFFSET(E319,-1,0),""))</f>
        <v/>
      </c>
      <c r="Q319">
        <f>IF(E319="","",IF(P319="",COUNTIFS(Action_Register!O:O,"Closed",Action_Register!W:W,"&lt;="&amp;E319),COUNTIFS(Action_Register!O:O,"Closed",Action_Register!W:W,"&gt;"&amp;P319,Action_Register!W:W,"&lt;="&amp;E319)))</f>
        <v/>
      </c>
      <c r="R319">
        <f>IF(E319="","",IF(P319="",COUNTIFS(Action_Register!O:O,"Closed",Action_Register!J:J,"Critical",Action_Register!W:W,"&lt;="&amp;E319),COUNTIFS(Action_Register!O:O,"Closed",Action_Register!J:J,"Critical",Action_Register!W:W,"&gt;"&amp;P319,Action_Register!W:W,"&lt;="&amp;E319)))</f>
        <v/>
      </c>
    </row>
    <row r="320">
      <c r="P320">
        <f>IF(E320="","",IFERROR(OFFSET(E320,-1,0),""))</f>
        <v/>
      </c>
      <c r="Q320">
        <f>IF(E320="","",IF(P320="",COUNTIFS(Action_Register!O:O,"Closed",Action_Register!W:W,"&lt;="&amp;E320),COUNTIFS(Action_Register!O:O,"Closed",Action_Register!W:W,"&gt;"&amp;P320,Action_Register!W:W,"&lt;="&amp;E320)))</f>
        <v/>
      </c>
      <c r="R320">
        <f>IF(E320="","",IF(P320="",COUNTIFS(Action_Register!O:O,"Closed",Action_Register!J:J,"Critical",Action_Register!W:W,"&lt;="&amp;E320),COUNTIFS(Action_Register!O:O,"Closed",Action_Register!J:J,"Critical",Action_Register!W:W,"&gt;"&amp;P320,Action_Register!W:W,"&lt;="&amp;E320)))</f>
        <v/>
      </c>
    </row>
    <row r="321">
      <c r="P321">
        <f>IF(E321="","",IFERROR(OFFSET(E321,-1,0),""))</f>
        <v/>
      </c>
      <c r="Q321">
        <f>IF(E321="","",IF(P321="",COUNTIFS(Action_Register!O:O,"Closed",Action_Register!W:W,"&lt;="&amp;E321),COUNTIFS(Action_Register!O:O,"Closed",Action_Register!W:W,"&gt;"&amp;P321,Action_Register!W:W,"&lt;="&amp;E321)))</f>
        <v/>
      </c>
      <c r="R321">
        <f>IF(E321="","",IF(P321="",COUNTIFS(Action_Register!O:O,"Closed",Action_Register!J:J,"Critical",Action_Register!W:W,"&lt;="&amp;E321),COUNTIFS(Action_Register!O:O,"Closed",Action_Register!J:J,"Critical",Action_Register!W:W,"&gt;"&amp;P321,Action_Register!W:W,"&lt;="&amp;E321)))</f>
        <v/>
      </c>
    </row>
    <row r="322">
      <c r="P322">
        <f>IF(E322="","",IFERROR(OFFSET(E322,-1,0),""))</f>
        <v/>
      </c>
      <c r="Q322">
        <f>IF(E322="","",IF(P322="",COUNTIFS(Action_Register!O:O,"Closed",Action_Register!W:W,"&lt;="&amp;E322),COUNTIFS(Action_Register!O:O,"Closed",Action_Register!W:W,"&gt;"&amp;P322,Action_Register!W:W,"&lt;="&amp;E322)))</f>
        <v/>
      </c>
      <c r="R322">
        <f>IF(E322="","",IF(P322="",COUNTIFS(Action_Register!O:O,"Closed",Action_Register!J:J,"Critical",Action_Register!W:W,"&lt;="&amp;E322),COUNTIFS(Action_Register!O:O,"Closed",Action_Register!J:J,"Critical",Action_Register!W:W,"&gt;"&amp;P322,Action_Register!W:W,"&lt;="&amp;E322)))</f>
        <v/>
      </c>
    </row>
    <row r="323">
      <c r="P323">
        <f>IF(E323="","",IFERROR(OFFSET(E323,-1,0),""))</f>
        <v/>
      </c>
      <c r="Q323">
        <f>IF(E323="","",IF(P323="",COUNTIFS(Action_Register!O:O,"Closed",Action_Register!W:W,"&lt;="&amp;E323),COUNTIFS(Action_Register!O:O,"Closed",Action_Register!W:W,"&gt;"&amp;P323,Action_Register!W:W,"&lt;="&amp;E323)))</f>
        <v/>
      </c>
      <c r="R323">
        <f>IF(E323="","",IF(P323="",COUNTIFS(Action_Register!O:O,"Closed",Action_Register!J:J,"Critical",Action_Register!W:W,"&lt;="&amp;E323),COUNTIFS(Action_Register!O:O,"Closed",Action_Register!J:J,"Critical",Action_Register!W:W,"&gt;"&amp;P323,Action_Register!W:W,"&lt;="&amp;E323)))</f>
        <v/>
      </c>
    </row>
    <row r="324">
      <c r="P324">
        <f>IF(E324="","",IFERROR(OFFSET(E324,-1,0),""))</f>
        <v/>
      </c>
      <c r="Q324">
        <f>IF(E324="","",IF(P324="",COUNTIFS(Action_Register!O:O,"Closed",Action_Register!W:W,"&lt;="&amp;E324),COUNTIFS(Action_Register!O:O,"Closed",Action_Register!W:W,"&gt;"&amp;P324,Action_Register!W:W,"&lt;="&amp;E324)))</f>
        <v/>
      </c>
      <c r="R324">
        <f>IF(E324="","",IF(P324="",COUNTIFS(Action_Register!O:O,"Closed",Action_Register!J:J,"Critical",Action_Register!W:W,"&lt;="&amp;E324),COUNTIFS(Action_Register!O:O,"Closed",Action_Register!J:J,"Critical",Action_Register!W:W,"&gt;"&amp;P324,Action_Register!W:W,"&lt;="&amp;E324)))</f>
        <v/>
      </c>
    </row>
    <row r="325">
      <c r="P325">
        <f>IF(E325="","",IFERROR(OFFSET(E325,-1,0),""))</f>
        <v/>
      </c>
      <c r="Q325">
        <f>IF(E325="","",IF(P325="",COUNTIFS(Action_Register!O:O,"Closed",Action_Register!W:W,"&lt;="&amp;E325),COUNTIFS(Action_Register!O:O,"Closed",Action_Register!W:W,"&gt;"&amp;P325,Action_Register!W:W,"&lt;="&amp;E325)))</f>
        <v/>
      </c>
      <c r="R325">
        <f>IF(E325="","",IF(P325="",COUNTIFS(Action_Register!O:O,"Closed",Action_Register!J:J,"Critical",Action_Register!W:W,"&lt;="&amp;E325),COUNTIFS(Action_Register!O:O,"Closed",Action_Register!J:J,"Critical",Action_Register!W:W,"&gt;"&amp;P325,Action_Register!W:W,"&lt;="&amp;E325)))</f>
        <v/>
      </c>
    </row>
    <row r="326">
      <c r="P326">
        <f>IF(E326="","",IFERROR(OFFSET(E326,-1,0),""))</f>
        <v/>
      </c>
      <c r="Q326">
        <f>IF(E326="","",IF(P326="",COUNTIFS(Action_Register!O:O,"Closed",Action_Register!W:W,"&lt;="&amp;E326),COUNTIFS(Action_Register!O:O,"Closed",Action_Register!W:W,"&gt;"&amp;P326,Action_Register!W:W,"&lt;="&amp;E326)))</f>
        <v/>
      </c>
      <c r="R326">
        <f>IF(E326="","",IF(P326="",COUNTIFS(Action_Register!O:O,"Closed",Action_Register!J:J,"Critical",Action_Register!W:W,"&lt;="&amp;E326),COUNTIFS(Action_Register!O:O,"Closed",Action_Register!J:J,"Critical",Action_Register!W:W,"&gt;"&amp;P326,Action_Register!W:W,"&lt;="&amp;E326)))</f>
        <v/>
      </c>
    </row>
    <row r="327">
      <c r="P327">
        <f>IF(E327="","",IFERROR(OFFSET(E327,-1,0),""))</f>
        <v/>
      </c>
      <c r="Q327">
        <f>IF(E327="","",IF(P327="",COUNTIFS(Action_Register!O:O,"Closed",Action_Register!W:W,"&lt;="&amp;E327),COUNTIFS(Action_Register!O:O,"Closed",Action_Register!W:W,"&gt;"&amp;P327,Action_Register!W:W,"&lt;="&amp;E327)))</f>
        <v/>
      </c>
      <c r="R327">
        <f>IF(E327="","",IF(P327="",COUNTIFS(Action_Register!O:O,"Closed",Action_Register!J:J,"Critical",Action_Register!W:W,"&lt;="&amp;E327),COUNTIFS(Action_Register!O:O,"Closed",Action_Register!J:J,"Critical",Action_Register!W:W,"&gt;"&amp;P327,Action_Register!W:W,"&lt;="&amp;E327)))</f>
        <v/>
      </c>
    </row>
    <row r="328">
      <c r="P328">
        <f>IF(E328="","",IFERROR(OFFSET(E328,-1,0),""))</f>
        <v/>
      </c>
      <c r="Q328">
        <f>IF(E328="","",IF(P328="",COUNTIFS(Action_Register!O:O,"Closed",Action_Register!W:W,"&lt;="&amp;E328),COUNTIFS(Action_Register!O:O,"Closed",Action_Register!W:W,"&gt;"&amp;P328,Action_Register!W:W,"&lt;="&amp;E328)))</f>
        <v/>
      </c>
      <c r="R328">
        <f>IF(E328="","",IF(P328="",COUNTIFS(Action_Register!O:O,"Closed",Action_Register!J:J,"Critical",Action_Register!W:W,"&lt;="&amp;E328),COUNTIFS(Action_Register!O:O,"Closed",Action_Register!J:J,"Critical",Action_Register!W:W,"&gt;"&amp;P328,Action_Register!W:W,"&lt;="&amp;E328)))</f>
        <v/>
      </c>
    </row>
    <row r="329">
      <c r="P329">
        <f>IF(E329="","",IFERROR(OFFSET(E329,-1,0),""))</f>
        <v/>
      </c>
      <c r="Q329">
        <f>IF(E329="","",IF(P329="",COUNTIFS(Action_Register!O:O,"Closed",Action_Register!W:W,"&lt;="&amp;E329),COUNTIFS(Action_Register!O:O,"Closed",Action_Register!W:W,"&gt;"&amp;P329,Action_Register!W:W,"&lt;="&amp;E329)))</f>
        <v/>
      </c>
      <c r="R329">
        <f>IF(E329="","",IF(P329="",COUNTIFS(Action_Register!O:O,"Closed",Action_Register!J:J,"Critical",Action_Register!W:W,"&lt;="&amp;E329),COUNTIFS(Action_Register!O:O,"Closed",Action_Register!J:J,"Critical",Action_Register!W:W,"&gt;"&amp;P329,Action_Register!W:W,"&lt;="&amp;E329)))</f>
        <v/>
      </c>
    </row>
    <row r="330">
      <c r="P330">
        <f>IF(E330="","",IFERROR(OFFSET(E330,-1,0),""))</f>
        <v/>
      </c>
      <c r="Q330">
        <f>IF(E330="","",IF(P330="",COUNTIFS(Action_Register!O:O,"Closed",Action_Register!W:W,"&lt;="&amp;E330),COUNTIFS(Action_Register!O:O,"Closed",Action_Register!W:W,"&gt;"&amp;P330,Action_Register!W:W,"&lt;="&amp;E330)))</f>
        <v/>
      </c>
      <c r="R330">
        <f>IF(E330="","",IF(P330="",COUNTIFS(Action_Register!O:O,"Closed",Action_Register!J:J,"Critical",Action_Register!W:W,"&lt;="&amp;E330),COUNTIFS(Action_Register!O:O,"Closed",Action_Register!J:J,"Critical",Action_Register!W:W,"&gt;"&amp;P330,Action_Register!W:W,"&lt;="&amp;E330)))</f>
        <v/>
      </c>
    </row>
    <row r="331">
      <c r="P331">
        <f>IF(E331="","",IFERROR(OFFSET(E331,-1,0),""))</f>
        <v/>
      </c>
      <c r="Q331">
        <f>IF(E331="","",IF(P331="",COUNTIFS(Action_Register!O:O,"Closed",Action_Register!W:W,"&lt;="&amp;E331),COUNTIFS(Action_Register!O:O,"Closed",Action_Register!W:W,"&gt;"&amp;P331,Action_Register!W:W,"&lt;="&amp;E331)))</f>
        <v/>
      </c>
      <c r="R331">
        <f>IF(E331="","",IF(P331="",COUNTIFS(Action_Register!O:O,"Closed",Action_Register!J:J,"Critical",Action_Register!W:W,"&lt;="&amp;E331),COUNTIFS(Action_Register!O:O,"Closed",Action_Register!J:J,"Critical",Action_Register!W:W,"&gt;"&amp;P331,Action_Register!W:W,"&lt;="&amp;E331)))</f>
        <v/>
      </c>
    </row>
    <row r="332">
      <c r="P332">
        <f>IF(E332="","",IFERROR(OFFSET(E332,-1,0),""))</f>
        <v/>
      </c>
      <c r="Q332">
        <f>IF(E332="","",IF(P332="",COUNTIFS(Action_Register!O:O,"Closed",Action_Register!W:W,"&lt;="&amp;E332),COUNTIFS(Action_Register!O:O,"Closed",Action_Register!W:W,"&gt;"&amp;P332,Action_Register!W:W,"&lt;="&amp;E332)))</f>
        <v/>
      </c>
      <c r="R332">
        <f>IF(E332="","",IF(P332="",COUNTIFS(Action_Register!O:O,"Closed",Action_Register!J:J,"Critical",Action_Register!W:W,"&lt;="&amp;E332),COUNTIFS(Action_Register!O:O,"Closed",Action_Register!J:J,"Critical",Action_Register!W:W,"&gt;"&amp;P332,Action_Register!W:W,"&lt;="&amp;E332)))</f>
        <v/>
      </c>
    </row>
    <row r="333">
      <c r="P333">
        <f>IF(E333="","",IFERROR(OFFSET(E333,-1,0),""))</f>
        <v/>
      </c>
      <c r="Q333">
        <f>IF(E333="","",IF(P333="",COUNTIFS(Action_Register!O:O,"Closed",Action_Register!W:W,"&lt;="&amp;E333),COUNTIFS(Action_Register!O:O,"Closed",Action_Register!W:W,"&gt;"&amp;P333,Action_Register!W:W,"&lt;="&amp;E333)))</f>
        <v/>
      </c>
      <c r="R333">
        <f>IF(E333="","",IF(P333="",COUNTIFS(Action_Register!O:O,"Closed",Action_Register!J:J,"Critical",Action_Register!W:W,"&lt;="&amp;E333),COUNTIFS(Action_Register!O:O,"Closed",Action_Register!J:J,"Critical",Action_Register!W:W,"&gt;"&amp;P333,Action_Register!W:W,"&lt;="&amp;E333)))</f>
        <v/>
      </c>
    </row>
    <row r="334">
      <c r="P334">
        <f>IF(E334="","",IFERROR(OFFSET(E334,-1,0),""))</f>
        <v/>
      </c>
      <c r="Q334">
        <f>IF(E334="","",IF(P334="",COUNTIFS(Action_Register!O:O,"Closed",Action_Register!W:W,"&lt;="&amp;E334),COUNTIFS(Action_Register!O:O,"Closed",Action_Register!W:W,"&gt;"&amp;P334,Action_Register!W:W,"&lt;="&amp;E334)))</f>
        <v/>
      </c>
      <c r="R334">
        <f>IF(E334="","",IF(P334="",COUNTIFS(Action_Register!O:O,"Closed",Action_Register!J:J,"Critical",Action_Register!W:W,"&lt;="&amp;E334),COUNTIFS(Action_Register!O:O,"Closed",Action_Register!J:J,"Critical",Action_Register!W:W,"&gt;"&amp;P334,Action_Register!W:W,"&lt;="&amp;E334)))</f>
        <v/>
      </c>
    </row>
    <row r="335">
      <c r="P335">
        <f>IF(E335="","",IFERROR(OFFSET(E335,-1,0),""))</f>
        <v/>
      </c>
      <c r="Q335">
        <f>IF(E335="","",IF(P335="",COUNTIFS(Action_Register!O:O,"Closed",Action_Register!W:W,"&lt;="&amp;E335),COUNTIFS(Action_Register!O:O,"Closed",Action_Register!W:W,"&gt;"&amp;P335,Action_Register!W:W,"&lt;="&amp;E335)))</f>
        <v/>
      </c>
      <c r="R335">
        <f>IF(E335="","",IF(P335="",COUNTIFS(Action_Register!O:O,"Closed",Action_Register!J:J,"Critical",Action_Register!W:W,"&lt;="&amp;E335),COUNTIFS(Action_Register!O:O,"Closed",Action_Register!J:J,"Critical",Action_Register!W:W,"&gt;"&amp;P335,Action_Register!W:W,"&lt;="&amp;E335)))</f>
        <v/>
      </c>
    </row>
    <row r="336">
      <c r="P336">
        <f>IF(E336="","",IFERROR(OFFSET(E336,-1,0),""))</f>
        <v/>
      </c>
      <c r="Q336">
        <f>IF(E336="","",IF(P336="",COUNTIFS(Action_Register!O:O,"Closed",Action_Register!W:W,"&lt;="&amp;E336),COUNTIFS(Action_Register!O:O,"Closed",Action_Register!W:W,"&gt;"&amp;P336,Action_Register!W:W,"&lt;="&amp;E336)))</f>
        <v/>
      </c>
      <c r="R336">
        <f>IF(E336="","",IF(P336="",COUNTIFS(Action_Register!O:O,"Closed",Action_Register!J:J,"Critical",Action_Register!W:W,"&lt;="&amp;E336),COUNTIFS(Action_Register!O:O,"Closed",Action_Register!J:J,"Critical",Action_Register!W:W,"&gt;"&amp;P336,Action_Register!W:W,"&lt;="&amp;E336)))</f>
        <v/>
      </c>
    </row>
    <row r="337">
      <c r="P337">
        <f>IF(E337="","",IFERROR(OFFSET(E337,-1,0),""))</f>
        <v/>
      </c>
      <c r="Q337">
        <f>IF(E337="","",IF(P337="",COUNTIFS(Action_Register!O:O,"Closed",Action_Register!W:W,"&lt;="&amp;E337),COUNTIFS(Action_Register!O:O,"Closed",Action_Register!W:W,"&gt;"&amp;P337,Action_Register!W:W,"&lt;="&amp;E337)))</f>
        <v/>
      </c>
      <c r="R337">
        <f>IF(E337="","",IF(P337="",COUNTIFS(Action_Register!O:O,"Closed",Action_Register!J:J,"Critical",Action_Register!W:W,"&lt;="&amp;E337),COUNTIFS(Action_Register!O:O,"Closed",Action_Register!J:J,"Critical",Action_Register!W:W,"&gt;"&amp;P337,Action_Register!W:W,"&lt;="&amp;E337)))</f>
        <v/>
      </c>
    </row>
    <row r="338">
      <c r="P338">
        <f>IF(E338="","",IFERROR(OFFSET(E338,-1,0),""))</f>
        <v/>
      </c>
      <c r="Q338">
        <f>IF(E338="","",IF(P338="",COUNTIFS(Action_Register!O:O,"Closed",Action_Register!W:W,"&lt;="&amp;E338),COUNTIFS(Action_Register!O:O,"Closed",Action_Register!W:W,"&gt;"&amp;P338,Action_Register!W:W,"&lt;="&amp;E338)))</f>
        <v/>
      </c>
      <c r="R338">
        <f>IF(E338="","",IF(P338="",COUNTIFS(Action_Register!O:O,"Closed",Action_Register!J:J,"Critical",Action_Register!W:W,"&lt;="&amp;E338),COUNTIFS(Action_Register!O:O,"Closed",Action_Register!J:J,"Critical",Action_Register!W:W,"&gt;"&amp;P338,Action_Register!W:W,"&lt;="&amp;E338)))</f>
        <v/>
      </c>
    </row>
    <row r="339">
      <c r="P339">
        <f>IF(E339="","",IFERROR(OFFSET(E339,-1,0),""))</f>
        <v/>
      </c>
      <c r="Q339">
        <f>IF(E339="","",IF(P339="",COUNTIFS(Action_Register!O:O,"Closed",Action_Register!W:W,"&lt;="&amp;E339),COUNTIFS(Action_Register!O:O,"Closed",Action_Register!W:W,"&gt;"&amp;P339,Action_Register!W:W,"&lt;="&amp;E339)))</f>
        <v/>
      </c>
      <c r="R339">
        <f>IF(E339="","",IF(P339="",COUNTIFS(Action_Register!O:O,"Closed",Action_Register!J:J,"Critical",Action_Register!W:W,"&lt;="&amp;E339),COUNTIFS(Action_Register!O:O,"Closed",Action_Register!J:J,"Critical",Action_Register!W:W,"&gt;"&amp;P339,Action_Register!W:W,"&lt;="&amp;E339)))</f>
        <v/>
      </c>
    </row>
    <row r="340">
      <c r="P340">
        <f>IF(E340="","",IFERROR(OFFSET(E340,-1,0),""))</f>
        <v/>
      </c>
      <c r="Q340">
        <f>IF(E340="","",IF(P340="",COUNTIFS(Action_Register!O:O,"Closed",Action_Register!W:W,"&lt;="&amp;E340),COUNTIFS(Action_Register!O:O,"Closed",Action_Register!W:W,"&gt;"&amp;P340,Action_Register!W:W,"&lt;="&amp;E340)))</f>
        <v/>
      </c>
      <c r="R340">
        <f>IF(E340="","",IF(P340="",COUNTIFS(Action_Register!O:O,"Closed",Action_Register!J:J,"Critical",Action_Register!W:W,"&lt;="&amp;E340),COUNTIFS(Action_Register!O:O,"Closed",Action_Register!J:J,"Critical",Action_Register!W:W,"&gt;"&amp;P340,Action_Register!W:W,"&lt;="&amp;E340)))</f>
        <v/>
      </c>
    </row>
    <row r="341">
      <c r="P341">
        <f>IF(E341="","",IFERROR(OFFSET(E341,-1,0),""))</f>
        <v/>
      </c>
      <c r="Q341">
        <f>IF(E341="","",IF(P341="",COUNTIFS(Action_Register!O:O,"Closed",Action_Register!W:W,"&lt;="&amp;E341),COUNTIFS(Action_Register!O:O,"Closed",Action_Register!W:W,"&gt;"&amp;P341,Action_Register!W:W,"&lt;="&amp;E341)))</f>
        <v/>
      </c>
      <c r="R341">
        <f>IF(E341="","",IF(P341="",COUNTIFS(Action_Register!O:O,"Closed",Action_Register!J:J,"Critical",Action_Register!W:W,"&lt;="&amp;E341),COUNTIFS(Action_Register!O:O,"Closed",Action_Register!J:J,"Critical",Action_Register!W:W,"&gt;"&amp;P341,Action_Register!W:W,"&lt;="&amp;E341)))</f>
        <v/>
      </c>
    </row>
    <row r="342">
      <c r="P342">
        <f>IF(E342="","",IFERROR(OFFSET(E342,-1,0),""))</f>
        <v/>
      </c>
      <c r="Q342">
        <f>IF(E342="","",IF(P342="",COUNTIFS(Action_Register!O:O,"Closed",Action_Register!W:W,"&lt;="&amp;E342),COUNTIFS(Action_Register!O:O,"Closed",Action_Register!W:W,"&gt;"&amp;P342,Action_Register!W:W,"&lt;="&amp;E342)))</f>
        <v/>
      </c>
      <c r="R342">
        <f>IF(E342="","",IF(P342="",COUNTIFS(Action_Register!O:O,"Closed",Action_Register!J:J,"Critical",Action_Register!W:W,"&lt;="&amp;E342),COUNTIFS(Action_Register!O:O,"Closed",Action_Register!J:J,"Critical",Action_Register!W:W,"&gt;"&amp;P342,Action_Register!W:W,"&lt;="&amp;E342)))</f>
        <v/>
      </c>
    </row>
    <row r="343">
      <c r="P343">
        <f>IF(E343="","",IFERROR(OFFSET(E343,-1,0),""))</f>
        <v/>
      </c>
      <c r="Q343">
        <f>IF(E343="","",IF(P343="",COUNTIFS(Action_Register!O:O,"Closed",Action_Register!W:W,"&lt;="&amp;E343),COUNTIFS(Action_Register!O:O,"Closed",Action_Register!W:W,"&gt;"&amp;P343,Action_Register!W:W,"&lt;="&amp;E343)))</f>
        <v/>
      </c>
      <c r="R343">
        <f>IF(E343="","",IF(P343="",COUNTIFS(Action_Register!O:O,"Closed",Action_Register!J:J,"Critical",Action_Register!W:W,"&lt;="&amp;E343),COUNTIFS(Action_Register!O:O,"Closed",Action_Register!J:J,"Critical",Action_Register!W:W,"&gt;"&amp;P343,Action_Register!W:W,"&lt;="&amp;E343)))</f>
        <v/>
      </c>
    </row>
    <row r="344">
      <c r="P344">
        <f>IF(E344="","",IFERROR(OFFSET(E344,-1,0),""))</f>
        <v/>
      </c>
      <c r="Q344">
        <f>IF(E344="","",IF(P344="",COUNTIFS(Action_Register!O:O,"Closed",Action_Register!W:W,"&lt;="&amp;E344),COUNTIFS(Action_Register!O:O,"Closed",Action_Register!W:W,"&gt;"&amp;P344,Action_Register!W:W,"&lt;="&amp;E344)))</f>
        <v/>
      </c>
      <c r="R344">
        <f>IF(E344="","",IF(P344="",COUNTIFS(Action_Register!O:O,"Closed",Action_Register!J:J,"Critical",Action_Register!W:W,"&lt;="&amp;E344),COUNTIFS(Action_Register!O:O,"Closed",Action_Register!J:J,"Critical",Action_Register!W:W,"&gt;"&amp;P344,Action_Register!W:W,"&lt;="&amp;E344)))</f>
        <v/>
      </c>
    </row>
    <row r="345">
      <c r="P345">
        <f>IF(E345="","",IFERROR(OFFSET(E345,-1,0),""))</f>
        <v/>
      </c>
      <c r="Q345">
        <f>IF(E345="","",IF(P345="",COUNTIFS(Action_Register!O:O,"Closed",Action_Register!W:W,"&lt;="&amp;E345),COUNTIFS(Action_Register!O:O,"Closed",Action_Register!W:W,"&gt;"&amp;P345,Action_Register!W:W,"&lt;="&amp;E345)))</f>
        <v/>
      </c>
      <c r="R345">
        <f>IF(E345="","",IF(P345="",COUNTIFS(Action_Register!O:O,"Closed",Action_Register!J:J,"Critical",Action_Register!W:W,"&lt;="&amp;E345),COUNTIFS(Action_Register!O:O,"Closed",Action_Register!J:J,"Critical",Action_Register!W:W,"&gt;"&amp;P345,Action_Register!W:W,"&lt;="&amp;E345)))</f>
        <v/>
      </c>
    </row>
    <row r="346">
      <c r="P346">
        <f>IF(E346="","",IFERROR(OFFSET(E346,-1,0),""))</f>
        <v/>
      </c>
      <c r="Q346">
        <f>IF(E346="","",IF(P346="",COUNTIFS(Action_Register!O:O,"Closed",Action_Register!W:W,"&lt;="&amp;E346),COUNTIFS(Action_Register!O:O,"Closed",Action_Register!W:W,"&gt;"&amp;P346,Action_Register!W:W,"&lt;="&amp;E346)))</f>
        <v/>
      </c>
      <c r="R346">
        <f>IF(E346="","",IF(P346="",COUNTIFS(Action_Register!O:O,"Closed",Action_Register!J:J,"Critical",Action_Register!W:W,"&lt;="&amp;E346),COUNTIFS(Action_Register!O:O,"Closed",Action_Register!J:J,"Critical",Action_Register!W:W,"&gt;"&amp;P346,Action_Register!W:W,"&lt;="&amp;E346)))</f>
        <v/>
      </c>
    </row>
    <row r="347">
      <c r="P347">
        <f>IF(E347="","",IFERROR(OFFSET(E347,-1,0),""))</f>
        <v/>
      </c>
      <c r="Q347">
        <f>IF(E347="","",IF(P347="",COUNTIFS(Action_Register!O:O,"Closed",Action_Register!W:W,"&lt;="&amp;E347),COUNTIFS(Action_Register!O:O,"Closed",Action_Register!W:W,"&gt;"&amp;P347,Action_Register!W:W,"&lt;="&amp;E347)))</f>
        <v/>
      </c>
      <c r="R347">
        <f>IF(E347="","",IF(P347="",COUNTIFS(Action_Register!O:O,"Closed",Action_Register!J:J,"Critical",Action_Register!W:W,"&lt;="&amp;E347),COUNTIFS(Action_Register!O:O,"Closed",Action_Register!J:J,"Critical",Action_Register!W:W,"&gt;"&amp;P347,Action_Register!W:W,"&lt;="&amp;E347)))</f>
        <v/>
      </c>
    </row>
    <row r="348">
      <c r="P348">
        <f>IF(E348="","",IFERROR(OFFSET(E348,-1,0),""))</f>
        <v/>
      </c>
      <c r="Q348">
        <f>IF(E348="","",IF(P348="",COUNTIFS(Action_Register!O:O,"Closed",Action_Register!W:W,"&lt;="&amp;E348),COUNTIFS(Action_Register!O:O,"Closed",Action_Register!W:W,"&gt;"&amp;P348,Action_Register!W:W,"&lt;="&amp;E348)))</f>
        <v/>
      </c>
      <c r="R348">
        <f>IF(E348="","",IF(P348="",COUNTIFS(Action_Register!O:O,"Closed",Action_Register!J:J,"Critical",Action_Register!W:W,"&lt;="&amp;E348),COUNTIFS(Action_Register!O:O,"Closed",Action_Register!J:J,"Critical",Action_Register!W:W,"&gt;"&amp;P348,Action_Register!W:W,"&lt;="&amp;E348)))</f>
        <v/>
      </c>
    </row>
    <row r="349">
      <c r="P349">
        <f>IF(E349="","",IFERROR(OFFSET(E349,-1,0),""))</f>
        <v/>
      </c>
      <c r="Q349">
        <f>IF(E349="","",IF(P349="",COUNTIFS(Action_Register!O:O,"Closed",Action_Register!W:W,"&lt;="&amp;E349),COUNTIFS(Action_Register!O:O,"Closed",Action_Register!W:W,"&gt;"&amp;P349,Action_Register!W:W,"&lt;="&amp;E349)))</f>
        <v/>
      </c>
      <c r="R349">
        <f>IF(E349="","",IF(P349="",COUNTIFS(Action_Register!O:O,"Closed",Action_Register!J:J,"Critical",Action_Register!W:W,"&lt;="&amp;E349),COUNTIFS(Action_Register!O:O,"Closed",Action_Register!J:J,"Critical",Action_Register!W:W,"&gt;"&amp;P349,Action_Register!W:W,"&lt;="&amp;E349)))</f>
        <v/>
      </c>
    </row>
    <row r="350">
      <c r="P350">
        <f>IF(E350="","",IFERROR(OFFSET(E350,-1,0),""))</f>
        <v/>
      </c>
      <c r="Q350">
        <f>IF(E350="","",IF(P350="",COUNTIFS(Action_Register!O:O,"Closed",Action_Register!W:W,"&lt;="&amp;E350),COUNTIFS(Action_Register!O:O,"Closed",Action_Register!W:W,"&gt;"&amp;P350,Action_Register!W:W,"&lt;="&amp;E350)))</f>
        <v/>
      </c>
      <c r="R350">
        <f>IF(E350="","",IF(P350="",COUNTIFS(Action_Register!O:O,"Closed",Action_Register!J:J,"Critical",Action_Register!W:W,"&lt;="&amp;E350),COUNTIFS(Action_Register!O:O,"Closed",Action_Register!J:J,"Critical",Action_Register!W:W,"&gt;"&amp;P350,Action_Register!W:W,"&lt;="&amp;E350)))</f>
        <v/>
      </c>
    </row>
    <row r="351">
      <c r="P351">
        <f>IF(E351="","",IFERROR(OFFSET(E351,-1,0),""))</f>
        <v/>
      </c>
      <c r="Q351">
        <f>IF(E351="","",IF(P351="",COUNTIFS(Action_Register!O:O,"Closed",Action_Register!W:W,"&lt;="&amp;E351),COUNTIFS(Action_Register!O:O,"Closed",Action_Register!W:W,"&gt;"&amp;P351,Action_Register!W:W,"&lt;="&amp;E351)))</f>
        <v/>
      </c>
      <c r="R351">
        <f>IF(E351="","",IF(P351="",COUNTIFS(Action_Register!O:O,"Closed",Action_Register!J:J,"Critical",Action_Register!W:W,"&lt;="&amp;E351),COUNTIFS(Action_Register!O:O,"Closed",Action_Register!J:J,"Critical",Action_Register!W:W,"&gt;"&amp;P351,Action_Register!W:W,"&lt;="&amp;E351)))</f>
        <v/>
      </c>
    </row>
    <row r="352">
      <c r="P352">
        <f>IF(E352="","",IFERROR(OFFSET(E352,-1,0),""))</f>
        <v/>
      </c>
      <c r="Q352">
        <f>IF(E352="","",IF(P352="",COUNTIFS(Action_Register!O:O,"Closed",Action_Register!W:W,"&lt;="&amp;E352),COUNTIFS(Action_Register!O:O,"Closed",Action_Register!W:W,"&gt;"&amp;P352,Action_Register!W:W,"&lt;="&amp;E352)))</f>
        <v/>
      </c>
      <c r="R352">
        <f>IF(E352="","",IF(P352="",COUNTIFS(Action_Register!O:O,"Closed",Action_Register!J:J,"Critical",Action_Register!W:W,"&lt;="&amp;E352),COUNTIFS(Action_Register!O:O,"Closed",Action_Register!J:J,"Critical",Action_Register!W:W,"&gt;"&amp;P352,Action_Register!W:W,"&lt;="&amp;E352)))</f>
        <v/>
      </c>
    </row>
    <row r="353">
      <c r="P353">
        <f>IF(E353="","",IFERROR(OFFSET(E353,-1,0),""))</f>
        <v/>
      </c>
      <c r="Q353">
        <f>IF(E353="","",IF(P353="",COUNTIFS(Action_Register!O:O,"Closed",Action_Register!W:W,"&lt;="&amp;E353),COUNTIFS(Action_Register!O:O,"Closed",Action_Register!W:W,"&gt;"&amp;P353,Action_Register!W:W,"&lt;="&amp;E353)))</f>
        <v/>
      </c>
      <c r="R353">
        <f>IF(E353="","",IF(P353="",COUNTIFS(Action_Register!O:O,"Closed",Action_Register!J:J,"Critical",Action_Register!W:W,"&lt;="&amp;E353),COUNTIFS(Action_Register!O:O,"Closed",Action_Register!J:J,"Critical",Action_Register!W:W,"&gt;"&amp;P353,Action_Register!W:W,"&lt;="&amp;E353)))</f>
        <v/>
      </c>
    </row>
    <row r="354">
      <c r="P354">
        <f>IF(E354="","",IFERROR(OFFSET(E354,-1,0),""))</f>
        <v/>
      </c>
      <c r="Q354">
        <f>IF(E354="","",IF(P354="",COUNTIFS(Action_Register!O:O,"Closed",Action_Register!W:W,"&lt;="&amp;E354),COUNTIFS(Action_Register!O:O,"Closed",Action_Register!W:W,"&gt;"&amp;P354,Action_Register!W:W,"&lt;="&amp;E354)))</f>
        <v/>
      </c>
      <c r="R354">
        <f>IF(E354="","",IF(P354="",COUNTIFS(Action_Register!O:O,"Closed",Action_Register!J:J,"Critical",Action_Register!W:W,"&lt;="&amp;E354),COUNTIFS(Action_Register!O:O,"Closed",Action_Register!J:J,"Critical",Action_Register!W:W,"&gt;"&amp;P354,Action_Register!W:W,"&lt;="&amp;E354)))</f>
        <v/>
      </c>
    </row>
    <row r="355">
      <c r="P355">
        <f>IF(E355="","",IFERROR(OFFSET(E355,-1,0),""))</f>
        <v/>
      </c>
      <c r="Q355">
        <f>IF(E355="","",IF(P355="",COUNTIFS(Action_Register!O:O,"Closed",Action_Register!W:W,"&lt;="&amp;E355),COUNTIFS(Action_Register!O:O,"Closed",Action_Register!W:W,"&gt;"&amp;P355,Action_Register!W:W,"&lt;="&amp;E355)))</f>
        <v/>
      </c>
      <c r="R355">
        <f>IF(E355="","",IF(P355="",COUNTIFS(Action_Register!O:O,"Closed",Action_Register!J:J,"Critical",Action_Register!W:W,"&lt;="&amp;E355),COUNTIFS(Action_Register!O:O,"Closed",Action_Register!J:J,"Critical",Action_Register!W:W,"&gt;"&amp;P355,Action_Register!W:W,"&lt;="&amp;E355)))</f>
        <v/>
      </c>
    </row>
    <row r="356">
      <c r="P356">
        <f>IF(E356="","",IFERROR(OFFSET(E356,-1,0),""))</f>
        <v/>
      </c>
      <c r="Q356">
        <f>IF(E356="","",IF(P356="",COUNTIFS(Action_Register!O:O,"Closed",Action_Register!W:W,"&lt;="&amp;E356),COUNTIFS(Action_Register!O:O,"Closed",Action_Register!W:W,"&gt;"&amp;P356,Action_Register!W:W,"&lt;="&amp;E356)))</f>
        <v/>
      </c>
      <c r="R356">
        <f>IF(E356="","",IF(P356="",COUNTIFS(Action_Register!O:O,"Closed",Action_Register!J:J,"Critical",Action_Register!W:W,"&lt;="&amp;E356),COUNTIFS(Action_Register!O:O,"Closed",Action_Register!J:J,"Critical",Action_Register!W:W,"&gt;"&amp;P356,Action_Register!W:W,"&lt;="&amp;E356)))</f>
        <v/>
      </c>
    </row>
    <row r="357">
      <c r="P357">
        <f>IF(E357="","",IFERROR(OFFSET(E357,-1,0),""))</f>
        <v/>
      </c>
      <c r="Q357">
        <f>IF(E357="","",IF(P357="",COUNTIFS(Action_Register!O:O,"Closed",Action_Register!W:W,"&lt;="&amp;E357),COUNTIFS(Action_Register!O:O,"Closed",Action_Register!W:W,"&gt;"&amp;P357,Action_Register!W:W,"&lt;="&amp;E357)))</f>
        <v/>
      </c>
      <c r="R357">
        <f>IF(E357="","",IF(P357="",COUNTIFS(Action_Register!O:O,"Closed",Action_Register!J:J,"Critical",Action_Register!W:W,"&lt;="&amp;E357),COUNTIFS(Action_Register!O:O,"Closed",Action_Register!J:J,"Critical",Action_Register!W:W,"&gt;"&amp;P357,Action_Register!W:W,"&lt;="&amp;E357)))</f>
        <v/>
      </c>
    </row>
    <row r="358">
      <c r="P358">
        <f>IF(E358="","",IFERROR(OFFSET(E358,-1,0),""))</f>
        <v/>
      </c>
      <c r="Q358">
        <f>IF(E358="","",IF(P358="",COUNTIFS(Action_Register!O:O,"Closed",Action_Register!W:W,"&lt;="&amp;E358),COUNTIFS(Action_Register!O:O,"Closed",Action_Register!W:W,"&gt;"&amp;P358,Action_Register!W:W,"&lt;="&amp;E358)))</f>
        <v/>
      </c>
      <c r="R358">
        <f>IF(E358="","",IF(P358="",COUNTIFS(Action_Register!O:O,"Closed",Action_Register!J:J,"Critical",Action_Register!W:W,"&lt;="&amp;E358),COUNTIFS(Action_Register!O:O,"Closed",Action_Register!J:J,"Critical",Action_Register!W:W,"&gt;"&amp;P358,Action_Register!W:W,"&lt;="&amp;E358)))</f>
        <v/>
      </c>
    </row>
    <row r="359">
      <c r="P359">
        <f>IF(E359="","",IFERROR(OFFSET(E359,-1,0),""))</f>
        <v/>
      </c>
      <c r="Q359">
        <f>IF(E359="","",IF(P359="",COUNTIFS(Action_Register!O:O,"Closed",Action_Register!W:W,"&lt;="&amp;E359),COUNTIFS(Action_Register!O:O,"Closed",Action_Register!W:W,"&gt;"&amp;P359,Action_Register!W:W,"&lt;="&amp;E359)))</f>
        <v/>
      </c>
      <c r="R359">
        <f>IF(E359="","",IF(P359="",COUNTIFS(Action_Register!O:O,"Closed",Action_Register!J:J,"Critical",Action_Register!W:W,"&lt;="&amp;E359),COUNTIFS(Action_Register!O:O,"Closed",Action_Register!J:J,"Critical",Action_Register!W:W,"&gt;"&amp;P359,Action_Register!W:W,"&lt;="&amp;E359)))</f>
        <v/>
      </c>
    </row>
    <row r="360">
      <c r="P360">
        <f>IF(E360="","",IFERROR(OFFSET(E360,-1,0),""))</f>
        <v/>
      </c>
      <c r="Q360">
        <f>IF(E360="","",IF(P360="",COUNTIFS(Action_Register!O:O,"Closed",Action_Register!W:W,"&lt;="&amp;E360),COUNTIFS(Action_Register!O:O,"Closed",Action_Register!W:W,"&gt;"&amp;P360,Action_Register!W:W,"&lt;="&amp;E360)))</f>
        <v/>
      </c>
      <c r="R360">
        <f>IF(E360="","",IF(P360="",COUNTIFS(Action_Register!O:O,"Closed",Action_Register!J:J,"Critical",Action_Register!W:W,"&lt;="&amp;E360),COUNTIFS(Action_Register!O:O,"Closed",Action_Register!J:J,"Critical",Action_Register!W:W,"&gt;"&amp;P360,Action_Register!W:W,"&lt;="&amp;E360)))</f>
        <v/>
      </c>
    </row>
    <row r="361">
      <c r="P361">
        <f>IF(E361="","",IFERROR(OFFSET(E361,-1,0),""))</f>
        <v/>
      </c>
      <c r="Q361">
        <f>IF(E361="","",IF(P361="",COUNTIFS(Action_Register!O:O,"Closed",Action_Register!W:W,"&lt;="&amp;E361),COUNTIFS(Action_Register!O:O,"Closed",Action_Register!W:W,"&gt;"&amp;P361,Action_Register!W:W,"&lt;="&amp;E361)))</f>
        <v/>
      </c>
      <c r="R361">
        <f>IF(E361="","",IF(P361="",COUNTIFS(Action_Register!O:O,"Closed",Action_Register!J:J,"Critical",Action_Register!W:W,"&lt;="&amp;E361),COUNTIFS(Action_Register!O:O,"Closed",Action_Register!J:J,"Critical",Action_Register!W:W,"&gt;"&amp;P361,Action_Register!W:W,"&lt;="&amp;E361)))</f>
        <v/>
      </c>
    </row>
    <row r="362">
      <c r="P362">
        <f>IF(E362="","",IFERROR(OFFSET(E362,-1,0),""))</f>
        <v/>
      </c>
      <c r="Q362">
        <f>IF(E362="","",IF(P362="",COUNTIFS(Action_Register!O:O,"Closed",Action_Register!W:W,"&lt;="&amp;E362),COUNTIFS(Action_Register!O:O,"Closed",Action_Register!W:W,"&gt;"&amp;P362,Action_Register!W:W,"&lt;="&amp;E362)))</f>
        <v/>
      </c>
      <c r="R362">
        <f>IF(E362="","",IF(P362="",COUNTIFS(Action_Register!O:O,"Closed",Action_Register!J:J,"Critical",Action_Register!W:W,"&lt;="&amp;E362),COUNTIFS(Action_Register!O:O,"Closed",Action_Register!J:J,"Critical",Action_Register!W:W,"&gt;"&amp;P362,Action_Register!W:W,"&lt;="&amp;E362)))</f>
        <v/>
      </c>
    </row>
    <row r="363">
      <c r="P363">
        <f>IF(E363="","",IFERROR(OFFSET(E363,-1,0),""))</f>
        <v/>
      </c>
      <c r="Q363">
        <f>IF(E363="","",IF(P363="",COUNTIFS(Action_Register!O:O,"Closed",Action_Register!W:W,"&lt;="&amp;E363),COUNTIFS(Action_Register!O:O,"Closed",Action_Register!W:W,"&gt;"&amp;P363,Action_Register!W:W,"&lt;="&amp;E363)))</f>
        <v/>
      </c>
      <c r="R363">
        <f>IF(E363="","",IF(P363="",COUNTIFS(Action_Register!O:O,"Closed",Action_Register!J:J,"Critical",Action_Register!W:W,"&lt;="&amp;E363),COUNTIFS(Action_Register!O:O,"Closed",Action_Register!J:J,"Critical",Action_Register!W:W,"&gt;"&amp;P363,Action_Register!W:W,"&lt;="&amp;E363)))</f>
        <v/>
      </c>
    </row>
    <row r="364">
      <c r="P364">
        <f>IF(E364="","",IFERROR(OFFSET(E364,-1,0),""))</f>
        <v/>
      </c>
      <c r="Q364">
        <f>IF(E364="","",IF(P364="",COUNTIFS(Action_Register!O:O,"Closed",Action_Register!W:W,"&lt;="&amp;E364),COUNTIFS(Action_Register!O:O,"Closed",Action_Register!W:W,"&gt;"&amp;P364,Action_Register!W:W,"&lt;="&amp;E364)))</f>
        <v/>
      </c>
      <c r="R364">
        <f>IF(E364="","",IF(P364="",COUNTIFS(Action_Register!O:O,"Closed",Action_Register!J:J,"Critical",Action_Register!W:W,"&lt;="&amp;E364),COUNTIFS(Action_Register!O:O,"Closed",Action_Register!J:J,"Critical",Action_Register!W:W,"&gt;"&amp;P364,Action_Register!W:W,"&lt;="&amp;E364)))</f>
        <v/>
      </c>
    </row>
    <row r="365">
      <c r="P365">
        <f>IF(E365="","",IFERROR(OFFSET(E365,-1,0),""))</f>
        <v/>
      </c>
      <c r="Q365">
        <f>IF(E365="","",IF(P365="",COUNTIFS(Action_Register!O:O,"Closed",Action_Register!W:W,"&lt;="&amp;E365),COUNTIFS(Action_Register!O:O,"Closed",Action_Register!W:W,"&gt;"&amp;P365,Action_Register!W:W,"&lt;="&amp;E365)))</f>
        <v/>
      </c>
      <c r="R365">
        <f>IF(E365="","",IF(P365="",COUNTIFS(Action_Register!O:O,"Closed",Action_Register!J:J,"Critical",Action_Register!W:W,"&lt;="&amp;E365),COUNTIFS(Action_Register!O:O,"Closed",Action_Register!J:J,"Critical",Action_Register!W:W,"&gt;"&amp;P365,Action_Register!W:W,"&lt;="&amp;E365)))</f>
        <v/>
      </c>
    </row>
    <row r="366">
      <c r="P366">
        <f>IF(E366="","",IFERROR(OFFSET(E366,-1,0),""))</f>
        <v/>
      </c>
      <c r="Q366">
        <f>IF(E366="","",IF(P366="",COUNTIFS(Action_Register!O:O,"Closed",Action_Register!W:W,"&lt;="&amp;E366),COUNTIFS(Action_Register!O:O,"Closed",Action_Register!W:W,"&gt;"&amp;P366,Action_Register!W:W,"&lt;="&amp;E366)))</f>
        <v/>
      </c>
      <c r="R366">
        <f>IF(E366="","",IF(P366="",COUNTIFS(Action_Register!O:O,"Closed",Action_Register!J:J,"Critical",Action_Register!W:W,"&lt;="&amp;E366),COUNTIFS(Action_Register!O:O,"Closed",Action_Register!J:J,"Critical",Action_Register!W:W,"&gt;"&amp;P366,Action_Register!W:W,"&lt;="&amp;E366)))</f>
        <v/>
      </c>
    </row>
    <row r="367">
      <c r="P367">
        <f>IF(E367="","",IFERROR(OFFSET(E367,-1,0),""))</f>
        <v/>
      </c>
      <c r="Q367">
        <f>IF(E367="","",IF(P367="",COUNTIFS(Action_Register!O:O,"Closed",Action_Register!W:W,"&lt;="&amp;E367),COUNTIFS(Action_Register!O:O,"Closed",Action_Register!W:W,"&gt;"&amp;P367,Action_Register!W:W,"&lt;="&amp;E367)))</f>
        <v/>
      </c>
      <c r="R367">
        <f>IF(E367="","",IF(P367="",COUNTIFS(Action_Register!O:O,"Closed",Action_Register!J:J,"Critical",Action_Register!W:W,"&lt;="&amp;E367),COUNTIFS(Action_Register!O:O,"Closed",Action_Register!J:J,"Critical",Action_Register!W:W,"&gt;"&amp;P367,Action_Register!W:W,"&lt;="&amp;E367)))</f>
        <v/>
      </c>
    </row>
    <row r="368">
      <c r="P368">
        <f>IF(E368="","",IFERROR(OFFSET(E368,-1,0),""))</f>
        <v/>
      </c>
      <c r="Q368">
        <f>IF(E368="","",IF(P368="",COUNTIFS(Action_Register!O:O,"Closed",Action_Register!W:W,"&lt;="&amp;E368),COUNTIFS(Action_Register!O:O,"Closed",Action_Register!W:W,"&gt;"&amp;P368,Action_Register!W:W,"&lt;="&amp;E368)))</f>
        <v/>
      </c>
      <c r="R368">
        <f>IF(E368="","",IF(P368="",COUNTIFS(Action_Register!O:O,"Closed",Action_Register!J:J,"Critical",Action_Register!W:W,"&lt;="&amp;E368),COUNTIFS(Action_Register!O:O,"Closed",Action_Register!J:J,"Critical",Action_Register!W:W,"&gt;"&amp;P368,Action_Register!W:W,"&lt;="&amp;E368)))</f>
        <v/>
      </c>
    </row>
    <row r="369">
      <c r="P369">
        <f>IF(E369="","",IFERROR(OFFSET(E369,-1,0),""))</f>
        <v/>
      </c>
      <c r="Q369">
        <f>IF(E369="","",IF(P369="",COUNTIFS(Action_Register!O:O,"Closed",Action_Register!W:W,"&lt;="&amp;E369),COUNTIFS(Action_Register!O:O,"Closed",Action_Register!W:W,"&gt;"&amp;P369,Action_Register!W:W,"&lt;="&amp;E369)))</f>
        <v/>
      </c>
      <c r="R369">
        <f>IF(E369="","",IF(P369="",COUNTIFS(Action_Register!O:O,"Closed",Action_Register!J:J,"Critical",Action_Register!W:W,"&lt;="&amp;E369),COUNTIFS(Action_Register!O:O,"Closed",Action_Register!J:J,"Critical",Action_Register!W:W,"&gt;"&amp;P369,Action_Register!W:W,"&lt;="&amp;E369)))</f>
        <v/>
      </c>
    </row>
    <row r="370">
      <c r="P370">
        <f>IF(E370="","",IFERROR(OFFSET(E370,-1,0),""))</f>
        <v/>
      </c>
      <c r="Q370">
        <f>IF(E370="","",IF(P370="",COUNTIFS(Action_Register!O:O,"Closed",Action_Register!W:W,"&lt;="&amp;E370),COUNTIFS(Action_Register!O:O,"Closed",Action_Register!W:W,"&gt;"&amp;P370,Action_Register!W:W,"&lt;="&amp;E370)))</f>
        <v/>
      </c>
      <c r="R370">
        <f>IF(E370="","",IF(P370="",COUNTIFS(Action_Register!O:O,"Closed",Action_Register!J:J,"Critical",Action_Register!W:W,"&lt;="&amp;E370),COUNTIFS(Action_Register!O:O,"Closed",Action_Register!J:J,"Critical",Action_Register!W:W,"&gt;"&amp;P370,Action_Register!W:W,"&lt;="&amp;E370)))</f>
        <v/>
      </c>
    </row>
    <row r="371">
      <c r="P371">
        <f>IF(E371="","",IFERROR(OFFSET(E371,-1,0),""))</f>
        <v/>
      </c>
      <c r="Q371">
        <f>IF(E371="","",IF(P371="",COUNTIFS(Action_Register!O:O,"Closed",Action_Register!W:W,"&lt;="&amp;E371),COUNTIFS(Action_Register!O:O,"Closed",Action_Register!W:W,"&gt;"&amp;P371,Action_Register!W:W,"&lt;="&amp;E371)))</f>
        <v/>
      </c>
      <c r="R371">
        <f>IF(E371="","",IF(P371="",COUNTIFS(Action_Register!O:O,"Closed",Action_Register!J:J,"Critical",Action_Register!W:W,"&lt;="&amp;E371),COUNTIFS(Action_Register!O:O,"Closed",Action_Register!J:J,"Critical",Action_Register!W:W,"&gt;"&amp;P371,Action_Register!W:W,"&lt;="&amp;E371)))</f>
        <v/>
      </c>
    </row>
    <row r="372">
      <c r="P372">
        <f>IF(E372="","",IFERROR(OFFSET(E372,-1,0),""))</f>
        <v/>
      </c>
      <c r="Q372">
        <f>IF(E372="","",IF(P372="",COUNTIFS(Action_Register!O:O,"Closed",Action_Register!W:W,"&lt;="&amp;E372),COUNTIFS(Action_Register!O:O,"Closed",Action_Register!W:W,"&gt;"&amp;P372,Action_Register!W:W,"&lt;="&amp;E372)))</f>
        <v/>
      </c>
      <c r="R372">
        <f>IF(E372="","",IF(P372="",COUNTIFS(Action_Register!O:O,"Closed",Action_Register!J:J,"Critical",Action_Register!W:W,"&lt;="&amp;E372),COUNTIFS(Action_Register!O:O,"Closed",Action_Register!J:J,"Critical",Action_Register!W:W,"&gt;"&amp;P372,Action_Register!W:W,"&lt;="&amp;E372)))</f>
        <v/>
      </c>
    </row>
    <row r="373">
      <c r="P373">
        <f>IF(E373="","",IFERROR(OFFSET(E373,-1,0),""))</f>
        <v/>
      </c>
      <c r="Q373">
        <f>IF(E373="","",IF(P373="",COUNTIFS(Action_Register!O:O,"Closed",Action_Register!W:W,"&lt;="&amp;E373),COUNTIFS(Action_Register!O:O,"Closed",Action_Register!W:W,"&gt;"&amp;P373,Action_Register!W:W,"&lt;="&amp;E373)))</f>
        <v/>
      </c>
      <c r="R373">
        <f>IF(E373="","",IF(P373="",COUNTIFS(Action_Register!O:O,"Closed",Action_Register!J:J,"Critical",Action_Register!W:W,"&lt;="&amp;E373),COUNTIFS(Action_Register!O:O,"Closed",Action_Register!J:J,"Critical",Action_Register!W:W,"&gt;"&amp;P373,Action_Register!W:W,"&lt;="&amp;E373)))</f>
        <v/>
      </c>
    </row>
    <row r="374">
      <c r="P374">
        <f>IF(E374="","",IFERROR(OFFSET(E374,-1,0),""))</f>
        <v/>
      </c>
      <c r="Q374">
        <f>IF(E374="","",IF(P374="",COUNTIFS(Action_Register!O:O,"Closed",Action_Register!W:W,"&lt;="&amp;E374),COUNTIFS(Action_Register!O:O,"Closed",Action_Register!W:W,"&gt;"&amp;P374,Action_Register!W:W,"&lt;="&amp;E374)))</f>
        <v/>
      </c>
      <c r="R374">
        <f>IF(E374="","",IF(P374="",COUNTIFS(Action_Register!O:O,"Closed",Action_Register!J:J,"Critical",Action_Register!W:W,"&lt;="&amp;E374),COUNTIFS(Action_Register!O:O,"Closed",Action_Register!J:J,"Critical",Action_Register!W:W,"&gt;"&amp;P374,Action_Register!W:W,"&lt;="&amp;E374)))</f>
        <v/>
      </c>
    </row>
    <row r="375">
      <c r="P375">
        <f>IF(E375="","",IFERROR(OFFSET(E375,-1,0),""))</f>
        <v/>
      </c>
      <c r="Q375">
        <f>IF(E375="","",IF(P375="",COUNTIFS(Action_Register!O:O,"Closed",Action_Register!W:W,"&lt;="&amp;E375),COUNTIFS(Action_Register!O:O,"Closed",Action_Register!W:W,"&gt;"&amp;P375,Action_Register!W:W,"&lt;="&amp;E375)))</f>
        <v/>
      </c>
      <c r="R375">
        <f>IF(E375="","",IF(P375="",COUNTIFS(Action_Register!O:O,"Closed",Action_Register!J:J,"Critical",Action_Register!W:W,"&lt;="&amp;E375),COUNTIFS(Action_Register!O:O,"Closed",Action_Register!J:J,"Critical",Action_Register!W:W,"&gt;"&amp;P375,Action_Register!W:W,"&lt;="&amp;E375)))</f>
        <v/>
      </c>
    </row>
    <row r="376">
      <c r="P376">
        <f>IF(E376="","",IFERROR(OFFSET(E376,-1,0),""))</f>
        <v/>
      </c>
      <c r="Q376">
        <f>IF(E376="","",IF(P376="",COUNTIFS(Action_Register!O:O,"Closed",Action_Register!W:W,"&lt;="&amp;E376),COUNTIFS(Action_Register!O:O,"Closed",Action_Register!W:W,"&gt;"&amp;P376,Action_Register!W:W,"&lt;="&amp;E376)))</f>
        <v/>
      </c>
      <c r="R376">
        <f>IF(E376="","",IF(P376="",COUNTIFS(Action_Register!O:O,"Closed",Action_Register!J:J,"Critical",Action_Register!W:W,"&lt;="&amp;E376),COUNTIFS(Action_Register!O:O,"Closed",Action_Register!J:J,"Critical",Action_Register!W:W,"&gt;"&amp;P376,Action_Register!W:W,"&lt;="&amp;E376)))</f>
        <v/>
      </c>
    </row>
    <row r="377">
      <c r="P377">
        <f>IF(E377="","",IFERROR(OFFSET(E377,-1,0),""))</f>
        <v/>
      </c>
      <c r="Q377">
        <f>IF(E377="","",IF(P377="",COUNTIFS(Action_Register!O:O,"Closed",Action_Register!W:W,"&lt;="&amp;E377),COUNTIFS(Action_Register!O:O,"Closed",Action_Register!W:W,"&gt;"&amp;P377,Action_Register!W:W,"&lt;="&amp;E377)))</f>
        <v/>
      </c>
      <c r="R377">
        <f>IF(E377="","",IF(P377="",COUNTIFS(Action_Register!O:O,"Closed",Action_Register!J:J,"Critical",Action_Register!W:W,"&lt;="&amp;E377),COUNTIFS(Action_Register!O:O,"Closed",Action_Register!J:J,"Critical",Action_Register!W:W,"&gt;"&amp;P377,Action_Register!W:W,"&lt;="&amp;E377)))</f>
        <v/>
      </c>
    </row>
    <row r="378">
      <c r="P378">
        <f>IF(E378="","",IFERROR(OFFSET(E378,-1,0),""))</f>
        <v/>
      </c>
      <c r="Q378">
        <f>IF(E378="","",IF(P378="",COUNTIFS(Action_Register!O:O,"Closed",Action_Register!W:W,"&lt;="&amp;E378),COUNTIFS(Action_Register!O:O,"Closed",Action_Register!W:W,"&gt;"&amp;P378,Action_Register!W:W,"&lt;="&amp;E378)))</f>
        <v/>
      </c>
      <c r="R378">
        <f>IF(E378="","",IF(P378="",COUNTIFS(Action_Register!O:O,"Closed",Action_Register!J:J,"Critical",Action_Register!W:W,"&lt;="&amp;E378),COUNTIFS(Action_Register!O:O,"Closed",Action_Register!J:J,"Critical",Action_Register!W:W,"&gt;"&amp;P378,Action_Register!W:W,"&lt;="&amp;E378)))</f>
        <v/>
      </c>
    </row>
    <row r="379">
      <c r="P379">
        <f>IF(E379="","",IFERROR(OFFSET(E379,-1,0),""))</f>
        <v/>
      </c>
      <c r="Q379">
        <f>IF(E379="","",IF(P379="",COUNTIFS(Action_Register!O:O,"Closed",Action_Register!W:W,"&lt;="&amp;E379),COUNTIFS(Action_Register!O:O,"Closed",Action_Register!W:W,"&gt;"&amp;P379,Action_Register!W:W,"&lt;="&amp;E379)))</f>
        <v/>
      </c>
      <c r="R379">
        <f>IF(E379="","",IF(P379="",COUNTIFS(Action_Register!O:O,"Closed",Action_Register!J:J,"Critical",Action_Register!W:W,"&lt;="&amp;E379),COUNTIFS(Action_Register!O:O,"Closed",Action_Register!J:J,"Critical",Action_Register!W:W,"&gt;"&amp;P379,Action_Register!W:W,"&lt;="&amp;E379)))</f>
        <v/>
      </c>
    </row>
    <row r="380">
      <c r="P380">
        <f>IF(E380="","",IFERROR(OFFSET(E380,-1,0),""))</f>
        <v/>
      </c>
      <c r="Q380">
        <f>IF(E380="","",IF(P380="",COUNTIFS(Action_Register!O:O,"Closed",Action_Register!W:W,"&lt;="&amp;E380),COUNTIFS(Action_Register!O:O,"Closed",Action_Register!W:W,"&gt;"&amp;P380,Action_Register!W:W,"&lt;="&amp;E380)))</f>
        <v/>
      </c>
      <c r="R380">
        <f>IF(E380="","",IF(P380="",COUNTIFS(Action_Register!O:O,"Closed",Action_Register!J:J,"Critical",Action_Register!W:W,"&lt;="&amp;E380),COUNTIFS(Action_Register!O:O,"Closed",Action_Register!J:J,"Critical",Action_Register!W:W,"&gt;"&amp;P380,Action_Register!W:W,"&lt;="&amp;E380)))</f>
        <v/>
      </c>
    </row>
    <row r="381">
      <c r="P381">
        <f>IF(E381="","",IFERROR(OFFSET(E381,-1,0),""))</f>
        <v/>
      </c>
      <c r="Q381">
        <f>IF(E381="","",IF(P381="",COUNTIFS(Action_Register!O:O,"Closed",Action_Register!W:W,"&lt;="&amp;E381),COUNTIFS(Action_Register!O:O,"Closed",Action_Register!W:W,"&gt;"&amp;P381,Action_Register!W:W,"&lt;="&amp;E381)))</f>
        <v/>
      </c>
      <c r="R381">
        <f>IF(E381="","",IF(P381="",COUNTIFS(Action_Register!O:O,"Closed",Action_Register!J:J,"Critical",Action_Register!W:W,"&lt;="&amp;E381),COUNTIFS(Action_Register!O:O,"Closed",Action_Register!J:J,"Critical",Action_Register!W:W,"&gt;"&amp;P381,Action_Register!W:W,"&lt;="&amp;E381)))</f>
        <v/>
      </c>
    </row>
    <row r="382">
      <c r="P382">
        <f>IF(E382="","",IFERROR(OFFSET(E382,-1,0),""))</f>
        <v/>
      </c>
      <c r="Q382">
        <f>IF(E382="","",IF(P382="",COUNTIFS(Action_Register!O:O,"Closed",Action_Register!W:W,"&lt;="&amp;E382),COUNTIFS(Action_Register!O:O,"Closed",Action_Register!W:W,"&gt;"&amp;P382,Action_Register!W:W,"&lt;="&amp;E382)))</f>
        <v/>
      </c>
      <c r="R382">
        <f>IF(E382="","",IF(P382="",COUNTIFS(Action_Register!O:O,"Closed",Action_Register!J:J,"Critical",Action_Register!W:W,"&lt;="&amp;E382),COUNTIFS(Action_Register!O:O,"Closed",Action_Register!J:J,"Critical",Action_Register!W:W,"&gt;"&amp;P382,Action_Register!W:W,"&lt;="&amp;E382)))</f>
        <v/>
      </c>
    </row>
    <row r="383">
      <c r="P383">
        <f>IF(E383="","",IFERROR(OFFSET(E383,-1,0),""))</f>
        <v/>
      </c>
      <c r="Q383">
        <f>IF(E383="","",IF(P383="",COUNTIFS(Action_Register!O:O,"Closed",Action_Register!W:W,"&lt;="&amp;E383),COUNTIFS(Action_Register!O:O,"Closed",Action_Register!W:W,"&gt;"&amp;P383,Action_Register!W:W,"&lt;="&amp;E383)))</f>
        <v/>
      </c>
      <c r="R383">
        <f>IF(E383="","",IF(P383="",COUNTIFS(Action_Register!O:O,"Closed",Action_Register!J:J,"Critical",Action_Register!W:W,"&lt;="&amp;E383),COUNTIFS(Action_Register!O:O,"Closed",Action_Register!J:J,"Critical",Action_Register!W:W,"&gt;"&amp;P383,Action_Register!W:W,"&lt;="&amp;E383)))</f>
        <v/>
      </c>
    </row>
    <row r="384">
      <c r="P384">
        <f>IF(E384="","",IFERROR(OFFSET(E384,-1,0),""))</f>
        <v/>
      </c>
      <c r="Q384">
        <f>IF(E384="","",IF(P384="",COUNTIFS(Action_Register!O:O,"Closed",Action_Register!W:W,"&lt;="&amp;E384),COUNTIFS(Action_Register!O:O,"Closed",Action_Register!W:W,"&gt;"&amp;P384,Action_Register!W:W,"&lt;="&amp;E384)))</f>
        <v/>
      </c>
      <c r="R384">
        <f>IF(E384="","",IF(P384="",COUNTIFS(Action_Register!O:O,"Closed",Action_Register!J:J,"Critical",Action_Register!W:W,"&lt;="&amp;E384),COUNTIFS(Action_Register!O:O,"Closed",Action_Register!J:J,"Critical",Action_Register!W:W,"&gt;"&amp;P384,Action_Register!W:W,"&lt;="&amp;E384)))</f>
        <v/>
      </c>
    </row>
    <row r="385">
      <c r="P385">
        <f>IF(E385="","",IFERROR(OFFSET(E385,-1,0),""))</f>
        <v/>
      </c>
      <c r="Q385">
        <f>IF(E385="","",IF(P385="",COUNTIFS(Action_Register!O:O,"Closed",Action_Register!W:W,"&lt;="&amp;E385),COUNTIFS(Action_Register!O:O,"Closed",Action_Register!W:W,"&gt;"&amp;P385,Action_Register!W:W,"&lt;="&amp;E385)))</f>
        <v/>
      </c>
      <c r="R385">
        <f>IF(E385="","",IF(P385="",COUNTIFS(Action_Register!O:O,"Closed",Action_Register!J:J,"Critical",Action_Register!W:W,"&lt;="&amp;E385),COUNTIFS(Action_Register!O:O,"Closed",Action_Register!J:J,"Critical",Action_Register!W:W,"&gt;"&amp;P385,Action_Register!W:W,"&lt;="&amp;E385)))</f>
        <v/>
      </c>
    </row>
    <row r="386">
      <c r="P386">
        <f>IF(E386="","",IFERROR(OFFSET(E386,-1,0),""))</f>
        <v/>
      </c>
      <c r="Q386">
        <f>IF(E386="","",IF(P386="",COUNTIFS(Action_Register!O:O,"Closed",Action_Register!W:W,"&lt;="&amp;E386),COUNTIFS(Action_Register!O:O,"Closed",Action_Register!W:W,"&gt;"&amp;P386,Action_Register!W:W,"&lt;="&amp;E386)))</f>
        <v/>
      </c>
      <c r="R386">
        <f>IF(E386="","",IF(P386="",COUNTIFS(Action_Register!O:O,"Closed",Action_Register!J:J,"Critical",Action_Register!W:W,"&lt;="&amp;E386),COUNTIFS(Action_Register!O:O,"Closed",Action_Register!J:J,"Critical",Action_Register!W:W,"&gt;"&amp;P386,Action_Register!W:W,"&lt;="&amp;E386)))</f>
        <v/>
      </c>
    </row>
    <row r="387">
      <c r="P387">
        <f>IF(E387="","",IFERROR(OFFSET(E387,-1,0),""))</f>
        <v/>
      </c>
      <c r="Q387">
        <f>IF(E387="","",IF(P387="",COUNTIFS(Action_Register!O:O,"Closed",Action_Register!W:W,"&lt;="&amp;E387),COUNTIFS(Action_Register!O:O,"Closed",Action_Register!W:W,"&gt;"&amp;P387,Action_Register!W:W,"&lt;="&amp;E387)))</f>
        <v/>
      </c>
      <c r="R387">
        <f>IF(E387="","",IF(P387="",COUNTIFS(Action_Register!O:O,"Closed",Action_Register!J:J,"Critical",Action_Register!W:W,"&lt;="&amp;E387),COUNTIFS(Action_Register!O:O,"Closed",Action_Register!J:J,"Critical",Action_Register!W:W,"&gt;"&amp;P387,Action_Register!W:W,"&lt;="&amp;E387)))</f>
        <v/>
      </c>
    </row>
    <row r="388">
      <c r="P388">
        <f>IF(E388="","",IFERROR(OFFSET(E388,-1,0),""))</f>
        <v/>
      </c>
      <c r="Q388">
        <f>IF(E388="","",IF(P388="",COUNTIFS(Action_Register!O:O,"Closed",Action_Register!W:W,"&lt;="&amp;E388),COUNTIFS(Action_Register!O:O,"Closed",Action_Register!W:W,"&gt;"&amp;P388,Action_Register!W:W,"&lt;="&amp;E388)))</f>
        <v/>
      </c>
      <c r="R388">
        <f>IF(E388="","",IF(P388="",COUNTIFS(Action_Register!O:O,"Closed",Action_Register!J:J,"Critical",Action_Register!W:W,"&lt;="&amp;E388),COUNTIFS(Action_Register!O:O,"Closed",Action_Register!J:J,"Critical",Action_Register!W:W,"&gt;"&amp;P388,Action_Register!W:W,"&lt;="&amp;E388)))</f>
        <v/>
      </c>
    </row>
    <row r="389">
      <c r="P389">
        <f>IF(E389="","",IFERROR(OFFSET(E389,-1,0),""))</f>
        <v/>
      </c>
      <c r="Q389">
        <f>IF(E389="","",IF(P389="",COUNTIFS(Action_Register!O:O,"Closed",Action_Register!W:W,"&lt;="&amp;E389),COUNTIFS(Action_Register!O:O,"Closed",Action_Register!W:W,"&gt;"&amp;P389,Action_Register!W:W,"&lt;="&amp;E389)))</f>
        <v/>
      </c>
      <c r="R389">
        <f>IF(E389="","",IF(P389="",COUNTIFS(Action_Register!O:O,"Closed",Action_Register!J:J,"Critical",Action_Register!W:W,"&lt;="&amp;E389),COUNTIFS(Action_Register!O:O,"Closed",Action_Register!J:J,"Critical",Action_Register!W:W,"&gt;"&amp;P389,Action_Register!W:W,"&lt;="&amp;E389)))</f>
        <v/>
      </c>
    </row>
    <row r="390">
      <c r="P390">
        <f>IF(E390="","",IFERROR(OFFSET(E390,-1,0),""))</f>
        <v/>
      </c>
      <c r="Q390">
        <f>IF(E390="","",IF(P390="",COUNTIFS(Action_Register!O:O,"Closed",Action_Register!W:W,"&lt;="&amp;E390),COUNTIFS(Action_Register!O:O,"Closed",Action_Register!W:W,"&gt;"&amp;P390,Action_Register!W:W,"&lt;="&amp;E390)))</f>
        <v/>
      </c>
      <c r="R390">
        <f>IF(E390="","",IF(P390="",COUNTIFS(Action_Register!O:O,"Closed",Action_Register!J:J,"Critical",Action_Register!W:W,"&lt;="&amp;E390),COUNTIFS(Action_Register!O:O,"Closed",Action_Register!J:J,"Critical",Action_Register!W:W,"&gt;"&amp;P390,Action_Register!W:W,"&lt;="&amp;E390)))</f>
        <v/>
      </c>
    </row>
    <row r="391">
      <c r="P391">
        <f>IF(E391="","",IFERROR(OFFSET(E391,-1,0),""))</f>
        <v/>
      </c>
      <c r="Q391">
        <f>IF(E391="","",IF(P391="",COUNTIFS(Action_Register!O:O,"Closed",Action_Register!W:W,"&lt;="&amp;E391),COUNTIFS(Action_Register!O:O,"Closed",Action_Register!W:W,"&gt;"&amp;P391,Action_Register!W:W,"&lt;="&amp;E391)))</f>
        <v/>
      </c>
      <c r="R391">
        <f>IF(E391="","",IF(P391="",COUNTIFS(Action_Register!O:O,"Closed",Action_Register!J:J,"Critical",Action_Register!W:W,"&lt;="&amp;E391),COUNTIFS(Action_Register!O:O,"Closed",Action_Register!J:J,"Critical",Action_Register!W:W,"&gt;"&amp;P391,Action_Register!W:W,"&lt;="&amp;E391)))</f>
        <v/>
      </c>
    </row>
    <row r="392">
      <c r="P392">
        <f>IF(E392="","",IFERROR(OFFSET(E392,-1,0),""))</f>
        <v/>
      </c>
      <c r="Q392">
        <f>IF(E392="","",IF(P392="",COUNTIFS(Action_Register!O:O,"Closed",Action_Register!W:W,"&lt;="&amp;E392),COUNTIFS(Action_Register!O:O,"Closed",Action_Register!W:W,"&gt;"&amp;P392,Action_Register!W:W,"&lt;="&amp;E392)))</f>
        <v/>
      </c>
      <c r="R392">
        <f>IF(E392="","",IF(P392="",COUNTIFS(Action_Register!O:O,"Closed",Action_Register!J:J,"Critical",Action_Register!W:W,"&lt;="&amp;E392),COUNTIFS(Action_Register!O:O,"Closed",Action_Register!J:J,"Critical",Action_Register!W:W,"&gt;"&amp;P392,Action_Register!W:W,"&lt;="&amp;E392)))</f>
        <v/>
      </c>
    </row>
    <row r="393">
      <c r="P393">
        <f>IF(E393="","",IFERROR(OFFSET(E393,-1,0),""))</f>
        <v/>
      </c>
      <c r="Q393">
        <f>IF(E393="","",IF(P393="",COUNTIFS(Action_Register!O:O,"Closed",Action_Register!W:W,"&lt;="&amp;E393),COUNTIFS(Action_Register!O:O,"Closed",Action_Register!W:W,"&gt;"&amp;P393,Action_Register!W:W,"&lt;="&amp;E393)))</f>
        <v/>
      </c>
      <c r="R393">
        <f>IF(E393="","",IF(P393="",COUNTIFS(Action_Register!O:O,"Closed",Action_Register!J:J,"Critical",Action_Register!W:W,"&lt;="&amp;E393),COUNTIFS(Action_Register!O:O,"Closed",Action_Register!J:J,"Critical",Action_Register!W:W,"&gt;"&amp;P393,Action_Register!W:W,"&lt;="&amp;E393)))</f>
        <v/>
      </c>
    </row>
    <row r="394">
      <c r="P394">
        <f>IF(E394="","",IFERROR(OFFSET(E394,-1,0),""))</f>
        <v/>
      </c>
      <c r="Q394">
        <f>IF(E394="","",IF(P394="",COUNTIFS(Action_Register!O:O,"Closed",Action_Register!W:W,"&lt;="&amp;E394),COUNTIFS(Action_Register!O:O,"Closed",Action_Register!W:W,"&gt;"&amp;P394,Action_Register!W:W,"&lt;="&amp;E394)))</f>
        <v/>
      </c>
      <c r="R394">
        <f>IF(E394="","",IF(P394="",COUNTIFS(Action_Register!O:O,"Closed",Action_Register!J:J,"Critical",Action_Register!W:W,"&lt;="&amp;E394),COUNTIFS(Action_Register!O:O,"Closed",Action_Register!J:J,"Critical",Action_Register!W:W,"&gt;"&amp;P394,Action_Register!W:W,"&lt;="&amp;E394)))</f>
        <v/>
      </c>
    </row>
    <row r="395">
      <c r="P395">
        <f>IF(E395="","",IFERROR(OFFSET(E395,-1,0),""))</f>
        <v/>
      </c>
      <c r="Q395">
        <f>IF(E395="","",IF(P395="",COUNTIFS(Action_Register!O:O,"Closed",Action_Register!W:W,"&lt;="&amp;E395),COUNTIFS(Action_Register!O:O,"Closed",Action_Register!W:W,"&gt;"&amp;P395,Action_Register!W:W,"&lt;="&amp;E395)))</f>
        <v/>
      </c>
      <c r="R395">
        <f>IF(E395="","",IF(P395="",COUNTIFS(Action_Register!O:O,"Closed",Action_Register!J:J,"Critical",Action_Register!W:W,"&lt;="&amp;E395),COUNTIFS(Action_Register!O:O,"Closed",Action_Register!J:J,"Critical",Action_Register!W:W,"&gt;"&amp;P395,Action_Register!W:W,"&lt;="&amp;E395)))</f>
        <v/>
      </c>
    </row>
    <row r="396">
      <c r="P396">
        <f>IF(E396="","",IFERROR(OFFSET(E396,-1,0),""))</f>
        <v/>
      </c>
      <c r="Q396">
        <f>IF(E396="","",IF(P396="",COUNTIFS(Action_Register!O:O,"Closed",Action_Register!W:W,"&lt;="&amp;E396),COUNTIFS(Action_Register!O:O,"Closed",Action_Register!W:W,"&gt;"&amp;P396,Action_Register!W:W,"&lt;="&amp;E396)))</f>
        <v/>
      </c>
      <c r="R396">
        <f>IF(E396="","",IF(P396="",COUNTIFS(Action_Register!O:O,"Closed",Action_Register!J:J,"Critical",Action_Register!W:W,"&lt;="&amp;E396),COUNTIFS(Action_Register!O:O,"Closed",Action_Register!J:J,"Critical",Action_Register!W:W,"&gt;"&amp;P396,Action_Register!W:W,"&lt;="&amp;E396)))</f>
        <v/>
      </c>
    </row>
    <row r="397">
      <c r="P397">
        <f>IF(E397="","",IFERROR(OFFSET(E397,-1,0),""))</f>
        <v/>
      </c>
      <c r="Q397">
        <f>IF(E397="","",IF(P397="",COUNTIFS(Action_Register!O:O,"Closed",Action_Register!W:W,"&lt;="&amp;E397),COUNTIFS(Action_Register!O:O,"Closed",Action_Register!W:W,"&gt;"&amp;P397,Action_Register!W:W,"&lt;="&amp;E397)))</f>
        <v/>
      </c>
      <c r="R397">
        <f>IF(E397="","",IF(P397="",COUNTIFS(Action_Register!O:O,"Closed",Action_Register!J:J,"Critical",Action_Register!W:W,"&lt;="&amp;E397),COUNTIFS(Action_Register!O:O,"Closed",Action_Register!J:J,"Critical",Action_Register!W:W,"&gt;"&amp;P397,Action_Register!W:W,"&lt;="&amp;E397)))</f>
        <v/>
      </c>
    </row>
    <row r="398">
      <c r="P398">
        <f>IF(E398="","",IFERROR(OFFSET(E398,-1,0),""))</f>
        <v/>
      </c>
      <c r="Q398">
        <f>IF(E398="","",IF(P398="",COUNTIFS(Action_Register!O:O,"Closed",Action_Register!W:W,"&lt;="&amp;E398),COUNTIFS(Action_Register!O:O,"Closed",Action_Register!W:W,"&gt;"&amp;P398,Action_Register!W:W,"&lt;="&amp;E398)))</f>
        <v/>
      </c>
      <c r="R398">
        <f>IF(E398="","",IF(P398="",COUNTIFS(Action_Register!O:O,"Closed",Action_Register!J:J,"Critical",Action_Register!W:W,"&lt;="&amp;E398),COUNTIFS(Action_Register!O:O,"Closed",Action_Register!J:J,"Critical",Action_Register!W:W,"&gt;"&amp;P398,Action_Register!W:W,"&lt;="&amp;E398)))</f>
        <v/>
      </c>
    </row>
    <row r="399">
      <c r="P399">
        <f>IF(E399="","",IFERROR(OFFSET(E399,-1,0),""))</f>
        <v/>
      </c>
      <c r="Q399">
        <f>IF(E399="","",IF(P399="",COUNTIFS(Action_Register!O:O,"Closed",Action_Register!W:W,"&lt;="&amp;E399),COUNTIFS(Action_Register!O:O,"Closed",Action_Register!W:W,"&gt;"&amp;P399,Action_Register!W:W,"&lt;="&amp;E399)))</f>
        <v/>
      </c>
      <c r="R399">
        <f>IF(E399="","",IF(P399="",COUNTIFS(Action_Register!O:O,"Closed",Action_Register!J:J,"Critical",Action_Register!W:W,"&lt;="&amp;E399),COUNTIFS(Action_Register!O:O,"Closed",Action_Register!J:J,"Critical",Action_Register!W:W,"&gt;"&amp;P399,Action_Register!W:W,"&lt;="&amp;E399)))</f>
        <v/>
      </c>
    </row>
    <row r="400">
      <c r="P400">
        <f>IF(E400="","",IFERROR(OFFSET(E400,-1,0),""))</f>
        <v/>
      </c>
      <c r="Q400">
        <f>IF(E400="","",IF(P400="",COUNTIFS(Action_Register!O:O,"Closed",Action_Register!W:W,"&lt;="&amp;E400),COUNTIFS(Action_Register!O:O,"Closed",Action_Register!W:W,"&gt;"&amp;P400,Action_Register!W:W,"&lt;="&amp;E400)))</f>
        <v/>
      </c>
      <c r="R400">
        <f>IF(E400="","",IF(P400="",COUNTIFS(Action_Register!O:O,"Closed",Action_Register!J:J,"Critical",Action_Register!W:W,"&lt;="&amp;E400),COUNTIFS(Action_Register!O:O,"Closed",Action_Register!J:J,"Critical",Action_Register!W:W,"&gt;"&amp;P400,Action_Register!W:W,"&lt;="&amp;E400)))</f>
        <v/>
      </c>
    </row>
    <row r="401">
      <c r="P401">
        <f>IF(E401="","",IFERROR(OFFSET(E401,-1,0),""))</f>
        <v/>
      </c>
      <c r="Q401">
        <f>IF(E401="","",IF(P401="",COUNTIFS(Action_Register!O:O,"Closed",Action_Register!W:W,"&lt;="&amp;E401),COUNTIFS(Action_Register!O:O,"Closed",Action_Register!W:W,"&gt;"&amp;P401,Action_Register!W:W,"&lt;="&amp;E401)))</f>
        <v/>
      </c>
      <c r="R401">
        <f>IF(E401="","",IF(P401="",COUNTIFS(Action_Register!O:O,"Closed",Action_Register!J:J,"Critical",Action_Register!W:W,"&lt;="&amp;E401),COUNTIFS(Action_Register!O:O,"Closed",Action_Register!J:J,"Critical",Action_Register!W:W,"&gt;"&amp;P401,Action_Register!W:W,"&lt;="&amp;E401)))</f>
        <v/>
      </c>
    </row>
    <row r="402">
      <c r="P402">
        <f>IF(E402="","",IFERROR(OFFSET(E402,-1,0),""))</f>
        <v/>
      </c>
      <c r="Q402">
        <f>IF(E402="","",IF(P402="",COUNTIFS(Action_Register!O:O,"Closed",Action_Register!W:W,"&lt;="&amp;E402),COUNTIFS(Action_Register!O:O,"Closed",Action_Register!W:W,"&gt;"&amp;P402,Action_Register!W:W,"&lt;="&amp;E402)))</f>
        <v/>
      </c>
      <c r="R402">
        <f>IF(E402="","",IF(P402="",COUNTIFS(Action_Register!O:O,"Closed",Action_Register!J:J,"Critical",Action_Register!W:W,"&lt;="&amp;E402),COUNTIFS(Action_Register!O:O,"Closed",Action_Register!J:J,"Critical",Action_Register!W:W,"&gt;"&amp;P402,Action_Register!W:W,"&lt;="&amp;E402)))</f>
        <v/>
      </c>
    </row>
    <row r="403">
      <c r="P403">
        <f>IF(E403="","",IFERROR(OFFSET(E403,-1,0),""))</f>
        <v/>
      </c>
      <c r="Q403">
        <f>IF(E403="","",IF(P403="",COUNTIFS(Action_Register!O:O,"Closed",Action_Register!W:W,"&lt;="&amp;E403),COUNTIFS(Action_Register!O:O,"Closed",Action_Register!W:W,"&gt;"&amp;P403,Action_Register!W:W,"&lt;="&amp;E403)))</f>
        <v/>
      </c>
      <c r="R403">
        <f>IF(E403="","",IF(P403="",COUNTIFS(Action_Register!O:O,"Closed",Action_Register!J:J,"Critical",Action_Register!W:W,"&lt;="&amp;E403),COUNTIFS(Action_Register!O:O,"Closed",Action_Register!J:J,"Critical",Action_Register!W:W,"&gt;"&amp;P403,Action_Register!W:W,"&lt;="&amp;E403)))</f>
        <v/>
      </c>
    </row>
    <row r="404">
      <c r="P404">
        <f>IF(E404="","",IFERROR(OFFSET(E404,-1,0),""))</f>
        <v/>
      </c>
      <c r="Q404">
        <f>IF(E404="","",IF(P404="",COUNTIFS(Action_Register!O:O,"Closed",Action_Register!W:W,"&lt;="&amp;E404),COUNTIFS(Action_Register!O:O,"Closed",Action_Register!W:W,"&gt;"&amp;P404,Action_Register!W:W,"&lt;="&amp;E404)))</f>
        <v/>
      </c>
      <c r="R404">
        <f>IF(E404="","",IF(P404="",COUNTIFS(Action_Register!O:O,"Closed",Action_Register!J:J,"Critical",Action_Register!W:W,"&lt;="&amp;E404),COUNTIFS(Action_Register!O:O,"Closed",Action_Register!J:J,"Critical",Action_Register!W:W,"&gt;"&amp;P404,Action_Register!W:W,"&lt;="&amp;E404)))</f>
        <v/>
      </c>
    </row>
    <row r="405">
      <c r="P405">
        <f>IF(E405="","",IFERROR(OFFSET(E405,-1,0),""))</f>
        <v/>
      </c>
      <c r="Q405">
        <f>IF(E405="","",IF(P405="",COUNTIFS(Action_Register!O:O,"Closed",Action_Register!W:W,"&lt;="&amp;E405),COUNTIFS(Action_Register!O:O,"Closed",Action_Register!W:W,"&gt;"&amp;P405,Action_Register!W:W,"&lt;="&amp;E405)))</f>
        <v/>
      </c>
      <c r="R405">
        <f>IF(E405="","",IF(P405="",COUNTIFS(Action_Register!O:O,"Closed",Action_Register!J:J,"Critical",Action_Register!W:W,"&lt;="&amp;E405),COUNTIFS(Action_Register!O:O,"Closed",Action_Register!J:J,"Critical",Action_Register!W:W,"&gt;"&amp;P405,Action_Register!W:W,"&lt;="&amp;E405)))</f>
        <v/>
      </c>
    </row>
    <row r="406">
      <c r="P406">
        <f>IF(E406="","",IFERROR(OFFSET(E406,-1,0),""))</f>
        <v/>
      </c>
      <c r="Q406">
        <f>IF(E406="","",IF(P406="",COUNTIFS(Action_Register!O:O,"Closed",Action_Register!W:W,"&lt;="&amp;E406),COUNTIFS(Action_Register!O:O,"Closed",Action_Register!W:W,"&gt;"&amp;P406,Action_Register!W:W,"&lt;="&amp;E406)))</f>
        <v/>
      </c>
      <c r="R406">
        <f>IF(E406="","",IF(P406="",COUNTIFS(Action_Register!O:O,"Closed",Action_Register!J:J,"Critical",Action_Register!W:W,"&lt;="&amp;E406),COUNTIFS(Action_Register!O:O,"Closed",Action_Register!J:J,"Critical",Action_Register!W:W,"&gt;"&amp;P406,Action_Register!W:W,"&lt;="&amp;E406)))</f>
        <v/>
      </c>
    </row>
    <row r="407">
      <c r="P407">
        <f>IF(E407="","",IFERROR(OFFSET(E407,-1,0),""))</f>
        <v/>
      </c>
      <c r="Q407">
        <f>IF(E407="","",IF(P407="",COUNTIFS(Action_Register!O:O,"Closed",Action_Register!W:W,"&lt;="&amp;E407),COUNTIFS(Action_Register!O:O,"Closed",Action_Register!W:W,"&gt;"&amp;P407,Action_Register!W:W,"&lt;="&amp;E407)))</f>
        <v/>
      </c>
      <c r="R407">
        <f>IF(E407="","",IF(P407="",COUNTIFS(Action_Register!O:O,"Closed",Action_Register!J:J,"Critical",Action_Register!W:W,"&lt;="&amp;E407),COUNTIFS(Action_Register!O:O,"Closed",Action_Register!J:J,"Critical",Action_Register!W:W,"&gt;"&amp;P407,Action_Register!W:W,"&lt;="&amp;E407)))</f>
        <v/>
      </c>
    </row>
    <row r="408">
      <c r="P408">
        <f>IF(E408="","",IFERROR(OFFSET(E408,-1,0),""))</f>
        <v/>
      </c>
      <c r="Q408">
        <f>IF(E408="","",IF(P408="",COUNTIFS(Action_Register!O:O,"Closed",Action_Register!W:W,"&lt;="&amp;E408),COUNTIFS(Action_Register!O:O,"Closed",Action_Register!W:W,"&gt;"&amp;P408,Action_Register!W:W,"&lt;="&amp;E408)))</f>
        <v/>
      </c>
      <c r="R408">
        <f>IF(E408="","",IF(P408="",COUNTIFS(Action_Register!O:O,"Closed",Action_Register!J:J,"Critical",Action_Register!W:W,"&lt;="&amp;E408),COUNTIFS(Action_Register!O:O,"Closed",Action_Register!J:J,"Critical",Action_Register!W:W,"&gt;"&amp;P408,Action_Register!W:W,"&lt;="&amp;E408)))</f>
        <v/>
      </c>
    </row>
    <row r="409">
      <c r="P409">
        <f>IF(E409="","",IFERROR(OFFSET(E409,-1,0),""))</f>
        <v/>
      </c>
      <c r="Q409">
        <f>IF(E409="","",IF(P409="",COUNTIFS(Action_Register!O:O,"Closed",Action_Register!W:W,"&lt;="&amp;E409),COUNTIFS(Action_Register!O:O,"Closed",Action_Register!W:W,"&gt;"&amp;P409,Action_Register!W:W,"&lt;="&amp;E409)))</f>
        <v/>
      </c>
      <c r="R409">
        <f>IF(E409="","",IF(P409="",COUNTIFS(Action_Register!O:O,"Closed",Action_Register!J:J,"Critical",Action_Register!W:W,"&lt;="&amp;E409),COUNTIFS(Action_Register!O:O,"Closed",Action_Register!J:J,"Critical",Action_Register!W:W,"&gt;"&amp;P409,Action_Register!W:W,"&lt;="&amp;E409)))</f>
        <v/>
      </c>
    </row>
    <row r="410">
      <c r="P410">
        <f>IF(E410="","",IFERROR(OFFSET(E410,-1,0),""))</f>
        <v/>
      </c>
      <c r="Q410">
        <f>IF(E410="","",IF(P410="",COUNTIFS(Action_Register!O:O,"Closed",Action_Register!W:W,"&lt;="&amp;E410),COUNTIFS(Action_Register!O:O,"Closed",Action_Register!W:W,"&gt;"&amp;P410,Action_Register!W:W,"&lt;="&amp;E410)))</f>
        <v/>
      </c>
      <c r="R410">
        <f>IF(E410="","",IF(P410="",COUNTIFS(Action_Register!O:O,"Closed",Action_Register!J:J,"Critical",Action_Register!W:W,"&lt;="&amp;E410),COUNTIFS(Action_Register!O:O,"Closed",Action_Register!J:J,"Critical",Action_Register!W:W,"&gt;"&amp;P410,Action_Register!W:W,"&lt;="&amp;E410)))</f>
        <v/>
      </c>
    </row>
    <row r="411">
      <c r="P411">
        <f>IF(E411="","",IFERROR(OFFSET(E411,-1,0),""))</f>
        <v/>
      </c>
      <c r="Q411">
        <f>IF(E411="","",IF(P411="",COUNTIFS(Action_Register!O:O,"Closed",Action_Register!W:W,"&lt;="&amp;E411),COUNTIFS(Action_Register!O:O,"Closed",Action_Register!W:W,"&gt;"&amp;P411,Action_Register!W:W,"&lt;="&amp;E411)))</f>
        <v/>
      </c>
      <c r="R411">
        <f>IF(E411="","",IF(P411="",COUNTIFS(Action_Register!O:O,"Closed",Action_Register!J:J,"Critical",Action_Register!W:W,"&lt;="&amp;E411),COUNTIFS(Action_Register!O:O,"Closed",Action_Register!J:J,"Critical",Action_Register!W:W,"&gt;"&amp;P411,Action_Register!W:W,"&lt;="&amp;E411)))</f>
        <v/>
      </c>
    </row>
    <row r="412">
      <c r="P412">
        <f>IF(E412="","",IFERROR(OFFSET(E412,-1,0),""))</f>
        <v/>
      </c>
      <c r="Q412">
        <f>IF(E412="","",IF(P412="",COUNTIFS(Action_Register!O:O,"Closed",Action_Register!W:W,"&lt;="&amp;E412),COUNTIFS(Action_Register!O:O,"Closed",Action_Register!W:W,"&gt;"&amp;P412,Action_Register!W:W,"&lt;="&amp;E412)))</f>
        <v/>
      </c>
      <c r="R412">
        <f>IF(E412="","",IF(P412="",COUNTIFS(Action_Register!O:O,"Closed",Action_Register!J:J,"Critical",Action_Register!W:W,"&lt;="&amp;E412),COUNTIFS(Action_Register!O:O,"Closed",Action_Register!J:J,"Critical",Action_Register!W:W,"&gt;"&amp;P412,Action_Register!W:W,"&lt;="&amp;E412)))</f>
        <v/>
      </c>
    </row>
    <row r="413">
      <c r="P413">
        <f>IF(E413="","",IFERROR(OFFSET(E413,-1,0),""))</f>
        <v/>
      </c>
      <c r="Q413">
        <f>IF(E413="","",IF(P413="",COUNTIFS(Action_Register!O:O,"Closed",Action_Register!W:W,"&lt;="&amp;E413),COUNTIFS(Action_Register!O:O,"Closed",Action_Register!W:W,"&gt;"&amp;P413,Action_Register!W:W,"&lt;="&amp;E413)))</f>
        <v/>
      </c>
      <c r="R413">
        <f>IF(E413="","",IF(P413="",COUNTIFS(Action_Register!O:O,"Closed",Action_Register!J:J,"Critical",Action_Register!W:W,"&lt;="&amp;E413),COUNTIFS(Action_Register!O:O,"Closed",Action_Register!J:J,"Critical",Action_Register!W:W,"&gt;"&amp;P413,Action_Register!W:W,"&lt;="&amp;E413)))</f>
        <v/>
      </c>
    </row>
    <row r="414">
      <c r="P414">
        <f>IF(E414="","",IFERROR(OFFSET(E414,-1,0),""))</f>
        <v/>
      </c>
      <c r="Q414">
        <f>IF(E414="","",IF(P414="",COUNTIFS(Action_Register!O:O,"Closed",Action_Register!W:W,"&lt;="&amp;E414),COUNTIFS(Action_Register!O:O,"Closed",Action_Register!W:W,"&gt;"&amp;P414,Action_Register!W:W,"&lt;="&amp;E414)))</f>
        <v/>
      </c>
      <c r="R414">
        <f>IF(E414="","",IF(P414="",COUNTIFS(Action_Register!O:O,"Closed",Action_Register!J:J,"Critical",Action_Register!W:W,"&lt;="&amp;E414),COUNTIFS(Action_Register!O:O,"Closed",Action_Register!J:J,"Critical",Action_Register!W:W,"&gt;"&amp;P414,Action_Register!W:W,"&lt;="&amp;E414)))</f>
        <v/>
      </c>
    </row>
    <row r="415">
      <c r="P415">
        <f>IF(E415="","",IFERROR(OFFSET(E415,-1,0),""))</f>
        <v/>
      </c>
      <c r="Q415">
        <f>IF(E415="","",IF(P415="",COUNTIFS(Action_Register!O:O,"Closed",Action_Register!W:W,"&lt;="&amp;E415),COUNTIFS(Action_Register!O:O,"Closed",Action_Register!W:W,"&gt;"&amp;P415,Action_Register!W:W,"&lt;="&amp;E415)))</f>
        <v/>
      </c>
      <c r="R415">
        <f>IF(E415="","",IF(P415="",COUNTIFS(Action_Register!O:O,"Closed",Action_Register!J:J,"Critical",Action_Register!W:W,"&lt;="&amp;E415),COUNTIFS(Action_Register!O:O,"Closed",Action_Register!J:J,"Critical",Action_Register!W:W,"&gt;"&amp;P415,Action_Register!W:W,"&lt;="&amp;E415)))</f>
        <v/>
      </c>
    </row>
    <row r="416">
      <c r="P416">
        <f>IF(E416="","",IFERROR(OFFSET(E416,-1,0),""))</f>
        <v/>
      </c>
      <c r="Q416">
        <f>IF(E416="","",IF(P416="",COUNTIFS(Action_Register!O:O,"Closed",Action_Register!W:W,"&lt;="&amp;E416),COUNTIFS(Action_Register!O:O,"Closed",Action_Register!W:W,"&gt;"&amp;P416,Action_Register!W:W,"&lt;="&amp;E416)))</f>
        <v/>
      </c>
      <c r="R416">
        <f>IF(E416="","",IF(P416="",COUNTIFS(Action_Register!O:O,"Closed",Action_Register!J:J,"Critical",Action_Register!W:W,"&lt;="&amp;E416),COUNTIFS(Action_Register!O:O,"Closed",Action_Register!J:J,"Critical",Action_Register!W:W,"&gt;"&amp;P416,Action_Register!W:W,"&lt;="&amp;E416)))</f>
        <v/>
      </c>
    </row>
    <row r="417">
      <c r="P417">
        <f>IF(E417="","",IFERROR(OFFSET(E417,-1,0),""))</f>
        <v/>
      </c>
      <c r="Q417">
        <f>IF(E417="","",IF(P417="",COUNTIFS(Action_Register!O:O,"Closed",Action_Register!W:W,"&lt;="&amp;E417),COUNTIFS(Action_Register!O:O,"Closed",Action_Register!W:W,"&gt;"&amp;P417,Action_Register!W:W,"&lt;="&amp;E417)))</f>
        <v/>
      </c>
      <c r="R417">
        <f>IF(E417="","",IF(P417="",COUNTIFS(Action_Register!O:O,"Closed",Action_Register!J:J,"Critical",Action_Register!W:W,"&lt;="&amp;E417),COUNTIFS(Action_Register!O:O,"Closed",Action_Register!J:J,"Critical",Action_Register!W:W,"&gt;"&amp;P417,Action_Register!W:W,"&lt;="&amp;E417)))</f>
        <v/>
      </c>
    </row>
    <row r="418">
      <c r="P418">
        <f>IF(E418="","",IFERROR(OFFSET(E418,-1,0),""))</f>
        <v/>
      </c>
      <c r="Q418">
        <f>IF(E418="","",IF(P418="",COUNTIFS(Action_Register!O:O,"Closed",Action_Register!W:W,"&lt;="&amp;E418),COUNTIFS(Action_Register!O:O,"Closed",Action_Register!W:W,"&gt;"&amp;P418,Action_Register!W:W,"&lt;="&amp;E418)))</f>
        <v/>
      </c>
      <c r="R418">
        <f>IF(E418="","",IF(P418="",COUNTIFS(Action_Register!O:O,"Closed",Action_Register!J:J,"Critical",Action_Register!W:W,"&lt;="&amp;E418),COUNTIFS(Action_Register!O:O,"Closed",Action_Register!J:J,"Critical",Action_Register!W:W,"&gt;"&amp;P418,Action_Register!W:W,"&lt;="&amp;E418)))</f>
        <v/>
      </c>
    </row>
    <row r="419">
      <c r="P419">
        <f>IF(E419="","",IFERROR(OFFSET(E419,-1,0),""))</f>
        <v/>
      </c>
      <c r="Q419">
        <f>IF(E419="","",IF(P419="",COUNTIFS(Action_Register!O:O,"Closed",Action_Register!W:W,"&lt;="&amp;E419),COUNTIFS(Action_Register!O:O,"Closed",Action_Register!W:W,"&gt;"&amp;P419,Action_Register!W:W,"&lt;="&amp;E419)))</f>
        <v/>
      </c>
      <c r="R419">
        <f>IF(E419="","",IF(P419="",COUNTIFS(Action_Register!O:O,"Closed",Action_Register!J:J,"Critical",Action_Register!W:W,"&lt;="&amp;E419),COUNTIFS(Action_Register!O:O,"Closed",Action_Register!J:J,"Critical",Action_Register!W:W,"&gt;"&amp;P419,Action_Register!W:W,"&lt;="&amp;E419)))</f>
        <v/>
      </c>
    </row>
    <row r="420">
      <c r="P420">
        <f>IF(E420="","",IFERROR(OFFSET(E420,-1,0),""))</f>
        <v/>
      </c>
      <c r="Q420">
        <f>IF(E420="","",IF(P420="",COUNTIFS(Action_Register!O:O,"Closed",Action_Register!W:W,"&lt;="&amp;E420),COUNTIFS(Action_Register!O:O,"Closed",Action_Register!W:W,"&gt;"&amp;P420,Action_Register!W:W,"&lt;="&amp;E420)))</f>
        <v/>
      </c>
      <c r="R420">
        <f>IF(E420="","",IF(P420="",COUNTIFS(Action_Register!O:O,"Closed",Action_Register!J:J,"Critical",Action_Register!W:W,"&lt;="&amp;E420),COUNTIFS(Action_Register!O:O,"Closed",Action_Register!J:J,"Critical",Action_Register!W:W,"&gt;"&amp;P420,Action_Register!W:W,"&lt;="&amp;E420)))</f>
        <v/>
      </c>
    </row>
    <row r="421">
      <c r="P421">
        <f>IF(E421="","",IFERROR(OFFSET(E421,-1,0),""))</f>
        <v/>
      </c>
      <c r="Q421">
        <f>IF(E421="","",IF(P421="",COUNTIFS(Action_Register!O:O,"Closed",Action_Register!W:W,"&lt;="&amp;E421),COUNTIFS(Action_Register!O:O,"Closed",Action_Register!W:W,"&gt;"&amp;P421,Action_Register!W:W,"&lt;="&amp;E421)))</f>
        <v/>
      </c>
      <c r="R421">
        <f>IF(E421="","",IF(P421="",COUNTIFS(Action_Register!O:O,"Closed",Action_Register!J:J,"Critical",Action_Register!W:W,"&lt;="&amp;E421),COUNTIFS(Action_Register!O:O,"Closed",Action_Register!J:J,"Critical",Action_Register!W:W,"&gt;"&amp;P421,Action_Register!W:W,"&lt;="&amp;E421)))</f>
        <v/>
      </c>
    </row>
    <row r="422">
      <c r="P422">
        <f>IF(E422="","",IFERROR(OFFSET(E422,-1,0),""))</f>
        <v/>
      </c>
      <c r="Q422">
        <f>IF(E422="","",IF(P422="",COUNTIFS(Action_Register!O:O,"Closed",Action_Register!W:W,"&lt;="&amp;E422),COUNTIFS(Action_Register!O:O,"Closed",Action_Register!W:W,"&gt;"&amp;P422,Action_Register!W:W,"&lt;="&amp;E422)))</f>
        <v/>
      </c>
      <c r="R422">
        <f>IF(E422="","",IF(P422="",COUNTIFS(Action_Register!O:O,"Closed",Action_Register!J:J,"Critical",Action_Register!W:W,"&lt;="&amp;E422),COUNTIFS(Action_Register!O:O,"Closed",Action_Register!J:J,"Critical",Action_Register!W:W,"&gt;"&amp;P422,Action_Register!W:W,"&lt;="&amp;E422)))</f>
        <v/>
      </c>
    </row>
    <row r="423">
      <c r="P423">
        <f>IF(E423="","",IFERROR(OFFSET(E423,-1,0),""))</f>
        <v/>
      </c>
      <c r="Q423">
        <f>IF(E423="","",IF(P423="",COUNTIFS(Action_Register!O:O,"Closed",Action_Register!W:W,"&lt;="&amp;E423),COUNTIFS(Action_Register!O:O,"Closed",Action_Register!W:W,"&gt;"&amp;P423,Action_Register!W:W,"&lt;="&amp;E423)))</f>
        <v/>
      </c>
      <c r="R423">
        <f>IF(E423="","",IF(P423="",COUNTIFS(Action_Register!O:O,"Closed",Action_Register!J:J,"Critical",Action_Register!W:W,"&lt;="&amp;E423),COUNTIFS(Action_Register!O:O,"Closed",Action_Register!J:J,"Critical",Action_Register!W:W,"&gt;"&amp;P423,Action_Register!W:W,"&lt;="&amp;E423)))</f>
        <v/>
      </c>
    </row>
    <row r="424">
      <c r="P424">
        <f>IF(E424="","",IFERROR(OFFSET(E424,-1,0),""))</f>
        <v/>
      </c>
      <c r="Q424">
        <f>IF(E424="","",IF(P424="",COUNTIFS(Action_Register!O:O,"Closed",Action_Register!W:W,"&lt;="&amp;E424),COUNTIFS(Action_Register!O:O,"Closed",Action_Register!W:W,"&gt;"&amp;P424,Action_Register!W:W,"&lt;="&amp;E424)))</f>
        <v/>
      </c>
      <c r="R424">
        <f>IF(E424="","",IF(P424="",COUNTIFS(Action_Register!O:O,"Closed",Action_Register!J:J,"Critical",Action_Register!W:W,"&lt;="&amp;E424),COUNTIFS(Action_Register!O:O,"Closed",Action_Register!J:J,"Critical",Action_Register!W:W,"&gt;"&amp;P424,Action_Register!W:W,"&lt;="&amp;E424)))</f>
        <v/>
      </c>
    </row>
    <row r="425">
      <c r="P425">
        <f>IF(E425="","",IFERROR(OFFSET(E425,-1,0),""))</f>
        <v/>
      </c>
      <c r="Q425">
        <f>IF(E425="","",IF(P425="",COUNTIFS(Action_Register!O:O,"Closed",Action_Register!W:W,"&lt;="&amp;E425),COUNTIFS(Action_Register!O:O,"Closed",Action_Register!W:W,"&gt;"&amp;P425,Action_Register!W:W,"&lt;="&amp;E425)))</f>
        <v/>
      </c>
      <c r="R425">
        <f>IF(E425="","",IF(P425="",COUNTIFS(Action_Register!O:O,"Closed",Action_Register!J:J,"Critical",Action_Register!W:W,"&lt;="&amp;E425),COUNTIFS(Action_Register!O:O,"Closed",Action_Register!J:J,"Critical",Action_Register!W:W,"&gt;"&amp;P425,Action_Register!W:W,"&lt;="&amp;E425)))</f>
        <v/>
      </c>
    </row>
    <row r="426">
      <c r="P426">
        <f>IF(E426="","",IFERROR(OFFSET(E426,-1,0),""))</f>
        <v/>
      </c>
      <c r="Q426">
        <f>IF(E426="","",IF(P426="",COUNTIFS(Action_Register!O:O,"Closed",Action_Register!W:W,"&lt;="&amp;E426),COUNTIFS(Action_Register!O:O,"Closed",Action_Register!W:W,"&gt;"&amp;P426,Action_Register!W:W,"&lt;="&amp;E426)))</f>
        <v/>
      </c>
      <c r="R426">
        <f>IF(E426="","",IF(P426="",COUNTIFS(Action_Register!O:O,"Closed",Action_Register!J:J,"Critical",Action_Register!W:W,"&lt;="&amp;E426),COUNTIFS(Action_Register!O:O,"Closed",Action_Register!J:J,"Critical",Action_Register!W:W,"&gt;"&amp;P426,Action_Register!W:W,"&lt;="&amp;E426)))</f>
        <v/>
      </c>
    </row>
    <row r="427">
      <c r="P427">
        <f>IF(E427="","",IFERROR(OFFSET(E427,-1,0),""))</f>
        <v/>
      </c>
      <c r="Q427">
        <f>IF(E427="","",IF(P427="",COUNTIFS(Action_Register!O:O,"Closed",Action_Register!W:W,"&lt;="&amp;E427),COUNTIFS(Action_Register!O:O,"Closed",Action_Register!W:W,"&gt;"&amp;P427,Action_Register!W:W,"&lt;="&amp;E427)))</f>
        <v/>
      </c>
      <c r="R427">
        <f>IF(E427="","",IF(P427="",COUNTIFS(Action_Register!O:O,"Closed",Action_Register!J:J,"Critical",Action_Register!W:W,"&lt;="&amp;E427),COUNTIFS(Action_Register!O:O,"Closed",Action_Register!J:J,"Critical",Action_Register!W:W,"&gt;"&amp;P427,Action_Register!W:W,"&lt;="&amp;E427)))</f>
        <v/>
      </c>
    </row>
    <row r="428">
      <c r="P428">
        <f>IF(E428="","",IFERROR(OFFSET(E428,-1,0),""))</f>
        <v/>
      </c>
      <c r="Q428">
        <f>IF(E428="","",IF(P428="",COUNTIFS(Action_Register!O:O,"Closed",Action_Register!W:W,"&lt;="&amp;E428),COUNTIFS(Action_Register!O:O,"Closed",Action_Register!W:W,"&gt;"&amp;P428,Action_Register!W:W,"&lt;="&amp;E428)))</f>
        <v/>
      </c>
      <c r="R428">
        <f>IF(E428="","",IF(P428="",COUNTIFS(Action_Register!O:O,"Closed",Action_Register!J:J,"Critical",Action_Register!W:W,"&lt;="&amp;E428),COUNTIFS(Action_Register!O:O,"Closed",Action_Register!J:J,"Critical",Action_Register!W:W,"&gt;"&amp;P428,Action_Register!W:W,"&lt;="&amp;E428)))</f>
        <v/>
      </c>
    </row>
    <row r="429">
      <c r="P429">
        <f>IF(E429="","",IFERROR(OFFSET(E429,-1,0),""))</f>
        <v/>
      </c>
      <c r="Q429">
        <f>IF(E429="","",IF(P429="",COUNTIFS(Action_Register!O:O,"Closed",Action_Register!W:W,"&lt;="&amp;E429),COUNTIFS(Action_Register!O:O,"Closed",Action_Register!W:W,"&gt;"&amp;P429,Action_Register!W:W,"&lt;="&amp;E429)))</f>
        <v/>
      </c>
      <c r="R429">
        <f>IF(E429="","",IF(P429="",COUNTIFS(Action_Register!O:O,"Closed",Action_Register!J:J,"Critical",Action_Register!W:W,"&lt;="&amp;E429),COUNTIFS(Action_Register!O:O,"Closed",Action_Register!J:J,"Critical",Action_Register!W:W,"&gt;"&amp;P429,Action_Register!W:W,"&lt;="&amp;E429)))</f>
        <v/>
      </c>
    </row>
    <row r="430">
      <c r="P430">
        <f>IF(E430="","",IFERROR(OFFSET(E430,-1,0),""))</f>
        <v/>
      </c>
      <c r="Q430">
        <f>IF(E430="","",IF(P430="",COUNTIFS(Action_Register!O:O,"Closed",Action_Register!W:W,"&lt;="&amp;E430),COUNTIFS(Action_Register!O:O,"Closed",Action_Register!W:W,"&gt;"&amp;P430,Action_Register!W:W,"&lt;="&amp;E430)))</f>
        <v/>
      </c>
      <c r="R430">
        <f>IF(E430="","",IF(P430="",COUNTIFS(Action_Register!O:O,"Closed",Action_Register!J:J,"Critical",Action_Register!W:W,"&lt;="&amp;E430),COUNTIFS(Action_Register!O:O,"Closed",Action_Register!J:J,"Critical",Action_Register!W:W,"&gt;"&amp;P430,Action_Register!W:W,"&lt;="&amp;E430)))</f>
        <v/>
      </c>
    </row>
    <row r="431">
      <c r="P431">
        <f>IF(E431="","",IFERROR(OFFSET(E431,-1,0),""))</f>
        <v/>
      </c>
      <c r="Q431">
        <f>IF(E431="","",IF(P431="",COUNTIFS(Action_Register!O:O,"Closed",Action_Register!W:W,"&lt;="&amp;E431),COUNTIFS(Action_Register!O:O,"Closed",Action_Register!W:W,"&gt;"&amp;P431,Action_Register!W:W,"&lt;="&amp;E431)))</f>
        <v/>
      </c>
      <c r="R431">
        <f>IF(E431="","",IF(P431="",COUNTIFS(Action_Register!O:O,"Closed",Action_Register!J:J,"Critical",Action_Register!W:W,"&lt;="&amp;E431),COUNTIFS(Action_Register!O:O,"Closed",Action_Register!J:J,"Critical",Action_Register!W:W,"&gt;"&amp;P431,Action_Register!W:W,"&lt;="&amp;E431)))</f>
        <v/>
      </c>
    </row>
    <row r="432">
      <c r="P432">
        <f>IF(E432="","",IFERROR(OFFSET(E432,-1,0),""))</f>
        <v/>
      </c>
      <c r="Q432">
        <f>IF(E432="","",IF(P432="",COUNTIFS(Action_Register!O:O,"Closed",Action_Register!W:W,"&lt;="&amp;E432),COUNTIFS(Action_Register!O:O,"Closed",Action_Register!W:W,"&gt;"&amp;P432,Action_Register!W:W,"&lt;="&amp;E432)))</f>
        <v/>
      </c>
      <c r="R432">
        <f>IF(E432="","",IF(P432="",COUNTIFS(Action_Register!O:O,"Closed",Action_Register!J:J,"Critical",Action_Register!W:W,"&lt;="&amp;E432),COUNTIFS(Action_Register!O:O,"Closed",Action_Register!J:J,"Critical",Action_Register!W:W,"&gt;"&amp;P432,Action_Register!W:W,"&lt;="&amp;E432)))</f>
        <v/>
      </c>
    </row>
    <row r="433">
      <c r="P433">
        <f>IF(E433="","",IFERROR(OFFSET(E433,-1,0),""))</f>
        <v/>
      </c>
      <c r="Q433">
        <f>IF(E433="","",IF(P433="",COUNTIFS(Action_Register!O:O,"Closed",Action_Register!W:W,"&lt;="&amp;E433),COUNTIFS(Action_Register!O:O,"Closed",Action_Register!W:W,"&gt;"&amp;P433,Action_Register!W:W,"&lt;="&amp;E433)))</f>
        <v/>
      </c>
      <c r="R433">
        <f>IF(E433="","",IF(P433="",COUNTIFS(Action_Register!O:O,"Closed",Action_Register!J:J,"Critical",Action_Register!W:W,"&lt;="&amp;E433),COUNTIFS(Action_Register!O:O,"Closed",Action_Register!J:J,"Critical",Action_Register!W:W,"&gt;"&amp;P433,Action_Register!W:W,"&lt;="&amp;E433)))</f>
        <v/>
      </c>
    </row>
    <row r="434">
      <c r="P434">
        <f>IF(E434="","",IFERROR(OFFSET(E434,-1,0),""))</f>
        <v/>
      </c>
      <c r="Q434">
        <f>IF(E434="","",IF(P434="",COUNTIFS(Action_Register!O:O,"Closed",Action_Register!W:W,"&lt;="&amp;E434),COUNTIFS(Action_Register!O:O,"Closed",Action_Register!W:W,"&gt;"&amp;P434,Action_Register!W:W,"&lt;="&amp;E434)))</f>
        <v/>
      </c>
      <c r="R434">
        <f>IF(E434="","",IF(P434="",COUNTIFS(Action_Register!O:O,"Closed",Action_Register!J:J,"Critical",Action_Register!W:W,"&lt;="&amp;E434),COUNTIFS(Action_Register!O:O,"Closed",Action_Register!J:J,"Critical",Action_Register!W:W,"&gt;"&amp;P434,Action_Register!W:W,"&lt;="&amp;E434)))</f>
        <v/>
      </c>
    </row>
    <row r="435">
      <c r="P435">
        <f>IF(E435="","",IFERROR(OFFSET(E435,-1,0),""))</f>
        <v/>
      </c>
      <c r="Q435">
        <f>IF(E435="","",IF(P435="",COUNTIFS(Action_Register!O:O,"Closed",Action_Register!W:W,"&lt;="&amp;E435),COUNTIFS(Action_Register!O:O,"Closed",Action_Register!W:W,"&gt;"&amp;P435,Action_Register!W:W,"&lt;="&amp;E435)))</f>
        <v/>
      </c>
      <c r="R435">
        <f>IF(E435="","",IF(P435="",COUNTIFS(Action_Register!O:O,"Closed",Action_Register!J:J,"Critical",Action_Register!W:W,"&lt;="&amp;E435),COUNTIFS(Action_Register!O:O,"Closed",Action_Register!J:J,"Critical",Action_Register!W:W,"&gt;"&amp;P435,Action_Register!W:W,"&lt;="&amp;E435)))</f>
        <v/>
      </c>
    </row>
    <row r="436">
      <c r="P436">
        <f>IF(E436="","",IFERROR(OFFSET(E436,-1,0),""))</f>
        <v/>
      </c>
      <c r="Q436">
        <f>IF(E436="","",IF(P436="",COUNTIFS(Action_Register!O:O,"Closed",Action_Register!W:W,"&lt;="&amp;E436),COUNTIFS(Action_Register!O:O,"Closed",Action_Register!W:W,"&gt;"&amp;P436,Action_Register!W:W,"&lt;="&amp;E436)))</f>
        <v/>
      </c>
      <c r="R436">
        <f>IF(E436="","",IF(P436="",COUNTIFS(Action_Register!O:O,"Closed",Action_Register!J:J,"Critical",Action_Register!W:W,"&lt;="&amp;E436),COUNTIFS(Action_Register!O:O,"Closed",Action_Register!J:J,"Critical",Action_Register!W:W,"&gt;"&amp;P436,Action_Register!W:W,"&lt;="&amp;E436)))</f>
        <v/>
      </c>
    </row>
    <row r="437">
      <c r="P437">
        <f>IF(E437="","",IFERROR(OFFSET(E437,-1,0),""))</f>
        <v/>
      </c>
      <c r="Q437">
        <f>IF(E437="","",IF(P437="",COUNTIFS(Action_Register!O:O,"Closed",Action_Register!W:W,"&lt;="&amp;E437),COUNTIFS(Action_Register!O:O,"Closed",Action_Register!W:W,"&gt;"&amp;P437,Action_Register!W:W,"&lt;="&amp;E437)))</f>
        <v/>
      </c>
      <c r="R437">
        <f>IF(E437="","",IF(P437="",COUNTIFS(Action_Register!O:O,"Closed",Action_Register!J:J,"Critical",Action_Register!W:W,"&lt;="&amp;E437),COUNTIFS(Action_Register!O:O,"Closed",Action_Register!J:J,"Critical",Action_Register!W:W,"&gt;"&amp;P437,Action_Register!W:W,"&lt;="&amp;E437)))</f>
        <v/>
      </c>
    </row>
    <row r="438">
      <c r="P438">
        <f>IF(E438="","",IFERROR(OFFSET(E438,-1,0),""))</f>
        <v/>
      </c>
      <c r="Q438">
        <f>IF(E438="","",IF(P438="",COUNTIFS(Action_Register!O:O,"Closed",Action_Register!W:W,"&lt;="&amp;E438),COUNTIFS(Action_Register!O:O,"Closed",Action_Register!W:W,"&gt;"&amp;P438,Action_Register!W:W,"&lt;="&amp;E438)))</f>
        <v/>
      </c>
      <c r="R438">
        <f>IF(E438="","",IF(P438="",COUNTIFS(Action_Register!O:O,"Closed",Action_Register!J:J,"Critical",Action_Register!W:W,"&lt;="&amp;E438),COUNTIFS(Action_Register!O:O,"Closed",Action_Register!J:J,"Critical",Action_Register!W:W,"&gt;"&amp;P438,Action_Register!W:W,"&lt;="&amp;E438)))</f>
        <v/>
      </c>
    </row>
    <row r="439">
      <c r="P439">
        <f>IF(E439="","",IFERROR(OFFSET(E439,-1,0),""))</f>
        <v/>
      </c>
      <c r="Q439">
        <f>IF(E439="","",IF(P439="",COUNTIFS(Action_Register!O:O,"Closed",Action_Register!W:W,"&lt;="&amp;E439),COUNTIFS(Action_Register!O:O,"Closed",Action_Register!W:W,"&gt;"&amp;P439,Action_Register!W:W,"&lt;="&amp;E439)))</f>
        <v/>
      </c>
      <c r="R439">
        <f>IF(E439="","",IF(P439="",COUNTIFS(Action_Register!O:O,"Closed",Action_Register!J:J,"Critical",Action_Register!W:W,"&lt;="&amp;E439),COUNTIFS(Action_Register!O:O,"Closed",Action_Register!J:J,"Critical",Action_Register!W:W,"&gt;"&amp;P439,Action_Register!W:W,"&lt;="&amp;E439)))</f>
        <v/>
      </c>
    </row>
    <row r="440">
      <c r="P440">
        <f>IF(E440="","",IFERROR(OFFSET(E440,-1,0),""))</f>
        <v/>
      </c>
      <c r="Q440">
        <f>IF(E440="","",IF(P440="",COUNTIFS(Action_Register!O:O,"Closed",Action_Register!W:W,"&lt;="&amp;E440),COUNTIFS(Action_Register!O:O,"Closed",Action_Register!W:W,"&gt;"&amp;P440,Action_Register!W:W,"&lt;="&amp;E440)))</f>
        <v/>
      </c>
      <c r="R440">
        <f>IF(E440="","",IF(P440="",COUNTIFS(Action_Register!O:O,"Closed",Action_Register!J:J,"Critical",Action_Register!W:W,"&lt;="&amp;E440),COUNTIFS(Action_Register!O:O,"Closed",Action_Register!J:J,"Critical",Action_Register!W:W,"&gt;"&amp;P440,Action_Register!W:W,"&lt;="&amp;E440)))</f>
        <v/>
      </c>
    </row>
    <row r="441">
      <c r="P441">
        <f>IF(E441="","",IFERROR(OFFSET(E441,-1,0),""))</f>
        <v/>
      </c>
      <c r="Q441">
        <f>IF(E441="","",IF(P441="",COUNTIFS(Action_Register!O:O,"Closed",Action_Register!W:W,"&lt;="&amp;E441),COUNTIFS(Action_Register!O:O,"Closed",Action_Register!W:W,"&gt;"&amp;P441,Action_Register!W:W,"&lt;="&amp;E441)))</f>
        <v/>
      </c>
      <c r="R441">
        <f>IF(E441="","",IF(P441="",COUNTIFS(Action_Register!O:O,"Closed",Action_Register!J:J,"Critical",Action_Register!W:W,"&lt;="&amp;E441),COUNTIFS(Action_Register!O:O,"Closed",Action_Register!J:J,"Critical",Action_Register!W:W,"&gt;"&amp;P441,Action_Register!W:W,"&lt;="&amp;E441)))</f>
        <v/>
      </c>
    </row>
    <row r="442">
      <c r="P442">
        <f>IF(E442="","",IFERROR(OFFSET(E442,-1,0),""))</f>
        <v/>
      </c>
      <c r="Q442">
        <f>IF(E442="","",IF(P442="",COUNTIFS(Action_Register!O:O,"Closed",Action_Register!W:W,"&lt;="&amp;E442),COUNTIFS(Action_Register!O:O,"Closed",Action_Register!W:W,"&gt;"&amp;P442,Action_Register!W:W,"&lt;="&amp;E442)))</f>
        <v/>
      </c>
      <c r="R442">
        <f>IF(E442="","",IF(P442="",COUNTIFS(Action_Register!O:O,"Closed",Action_Register!J:J,"Critical",Action_Register!W:W,"&lt;="&amp;E442),COUNTIFS(Action_Register!O:O,"Closed",Action_Register!J:J,"Critical",Action_Register!W:W,"&gt;"&amp;P442,Action_Register!W:W,"&lt;="&amp;E442)))</f>
        <v/>
      </c>
    </row>
    <row r="443">
      <c r="P443">
        <f>IF(E443="","",IFERROR(OFFSET(E443,-1,0),""))</f>
        <v/>
      </c>
      <c r="Q443">
        <f>IF(E443="","",IF(P443="",COUNTIFS(Action_Register!O:O,"Closed",Action_Register!W:W,"&lt;="&amp;E443),COUNTIFS(Action_Register!O:O,"Closed",Action_Register!W:W,"&gt;"&amp;P443,Action_Register!W:W,"&lt;="&amp;E443)))</f>
        <v/>
      </c>
      <c r="R443">
        <f>IF(E443="","",IF(P443="",COUNTIFS(Action_Register!O:O,"Closed",Action_Register!J:J,"Critical",Action_Register!W:W,"&lt;="&amp;E443),COUNTIFS(Action_Register!O:O,"Closed",Action_Register!J:J,"Critical",Action_Register!W:W,"&gt;"&amp;P443,Action_Register!W:W,"&lt;="&amp;E443)))</f>
        <v/>
      </c>
    </row>
    <row r="444">
      <c r="P444">
        <f>IF(E444="","",IFERROR(OFFSET(E444,-1,0),""))</f>
        <v/>
      </c>
      <c r="Q444">
        <f>IF(E444="","",IF(P444="",COUNTIFS(Action_Register!O:O,"Closed",Action_Register!W:W,"&lt;="&amp;E444),COUNTIFS(Action_Register!O:O,"Closed",Action_Register!W:W,"&gt;"&amp;P444,Action_Register!W:W,"&lt;="&amp;E444)))</f>
        <v/>
      </c>
      <c r="R444">
        <f>IF(E444="","",IF(P444="",COUNTIFS(Action_Register!O:O,"Closed",Action_Register!J:J,"Critical",Action_Register!W:W,"&lt;="&amp;E444),COUNTIFS(Action_Register!O:O,"Closed",Action_Register!J:J,"Critical",Action_Register!W:W,"&gt;"&amp;P444,Action_Register!W:W,"&lt;="&amp;E444)))</f>
        <v/>
      </c>
    </row>
    <row r="445">
      <c r="P445">
        <f>IF(E445="","",IFERROR(OFFSET(E445,-1,0),""))</f>
        <v/>
      </c>
      <c r="Q445">
        <f>IF(E445="","",IF(P445="",COUNTIFS(Action_Register!O:O,"Closed",Action_Register!W:W,"&lt;="&amp;E445),COUNTIFS(Action_Register!O:O,"Closed",Action_Register!W:W,"&gt;"&amp;P445,Action_Register!W:W,"&lt;="&amp;E445)))</f>
        <v/>
      </c>
      <c r="R445">
        <f>IF(E445="","",IF(P445="",COUNTIFS(Action_Register!O:O,"Closed",Action_Register!J:J,"Critical",Action_Register!W:W,"&lt;="&amp;E445),COUNTIFS(Action_Register!O:O,"Closed",Action_Register!J:J,"Critical",Action_Register!W:W,"&gt;"&amp;P445,Action_Register!W:W,"&lt;="&amp;E445)))</f>
        <v/>
      </c>
    </row>
    <row r="446">
      <c r="P446">
        <f>IF(E446="","",IFERROR(OFFSET(E446,-1,0),""))</f>
        <v/>
      </c>
      <c r="Q446">
        <f>IF(E446="","",IF(P446="",COUNTIFS(Action_Register!O:O,"Closed",Action_Register!W:W,"&lt;="&amp;E446),COUNTIFS(Action_Register!O:O,"Closed",Action_Register!W:W,"&gt;"&amp;P446,Action_Register!W:W,"&lt;="&amp;E446)))</f>
        <v/>
      </c>
      <c r="R446">
        <f>IF(E446="","",IF(P446="",COUNTIFS(Action_Register!O:O,"Closed",Action_Register!J:J,"Critical",Action_Register!W:W,"&lt;="&amp;E446),COUNTIFS(Action_Register!O:O,"Closed",Action_Register!J:J,"Critical",Action_Register!W:W,"&gt;"&amp;P446,Action_Register!W:W,"&lt;="&amp;E446)))</f>
        <v/>
      </c>
    </row>
    <row r="447">
      <c r="P447">
        <f>IF(E447="","",IFERROR(OFFSET(E447,-1,0),""))</f>
        <v/>
      </c>
      <c r="Q447">
        <f>IF(E447="","",IF(P447="",COUNTIFS(Action_Register!O:O,"Closed",Action_Register!W:W,"&lt;="&amp;E447),COUNTIFS(Action_Register!O:O,"Closed",Action_Register!W:W,"&gt;"&amp;P447,Action_Register!W:W,"&lt;="&amp;E447)))</f>
        <v/>
      </c>
      <c r="R447">
        <f>IF(E447="","",IF(P447="",COUNTIFS(Action_Register!O:O,"Closed",Action_Register!J:J,"Critical",Action_Register!W:W,"&lt;="&amp;E447),COUNTIFS(Action_Register!O:O,"Closed",Action_Register!J:J,"Critical",Action_Register!W:W,"&gt;"&amp;P447,Action_Register!W:W,"&lt;="&amp;E447)))</f>
        <v/>
      </c>
    </row>
    <row r="448">
      <c r="P448">
        <f>IF(E448="","",IFERROR(OFFSET(E448,-1,0),""))</f>
        <v/>
      </c>
      <c r="Q448">
        <f>IF(E448="","",IF(P448="",COUNTIFS(Action_Register!O:O,"Closed",Action_Register!W:W,"&lt;="&amp;E448),COUNTIFS(Action_Register!O:O,"Closed",Action_Register!W:W,"&gt;"&amp;P448,Action_Register!W:W,"&lt;="&amp;E448)))</f>
        <v/>
      </c>
      <c r="R448">
        <f>IF(E448="","",IF(P448="",COUNTIFS(Action_Register!O:O,"Closed",Action_Register!J:J,"Critical",Action_Register!W:W,"&lt;="&amp;E448),COUNTIFS(Action_Register!O:O,"Closed",Action_Register!J:J,"Critical",Action_Register!W:W,"&gt;"&amp;P448,Action_Register!W:W,"&lt;="&amp;E448)))</f>
        <v/>
      </c>
    </row>
    <row r="449">
      <c r="P449">
        <f>IF(E449="","",IFERROR(OFFSET(E449,-1,0),""))</f>
        <v/>
      </c>
      <c r="Q449">
        <f>IF(E449="","",IF(P449="",COUNTIFS(Action_Register!O:O,"Closed",Action_Register!W:W,"&lt;="&amp;E449),COUNTIFS(Action_Register!O:O,"Closed",Action_Register!W:W,"&gt;"&amp;P449,Action_Register!W:W,"&lt;="&amp;E449)))</f>
        <v/>
      </c>
      <c r="R449">
        <f>IF(E449="","",IF(P449="",COUNTIFS(Action_Register!O:O,"Closed",Action_Register!J:J,"Critical",Action_Register!W:W,"&lt;="&amp;E449),COUNTIFS(Action_Register!O:O,"Closed",Action_Register!J:J,"Critical",Action_Register!W:W,"&gt;"&amp;P449,Action_Register!W:W,"&lt;="&amp;E449)))</f>
        <v/>
      </c>
    </row>
    <row r="450">
      <c r="P450">
        <f>IF(E450="","",IFERROR(OFFSET(E450,-1,0),""))</f>
        <v/>
      </c>
      <c r="Q450">
        <f>IF(E450="","",IF(P450="",COUNTIFS(Action_Register!O:O,"Closed",Action_Register!W:W,"&lt;="&amp;E450),COUNTIFS(Action_Register!O:O,"Closed",Action_Register!W:W,"&gt;"&amp;P450,Action_Register!W:W,"&lt;="&amp;E450)))</f>
        <v/>
      </c>
      <c r="R450">
        <f>IF(E450="","",IF(P450="",COUNTIFS(Action_Register!O:O,"Closed",Action_Register!J:J,"Critical",Action_Register!W:W,"&lt;="&amp;E450),COUNTIFS(Action_Register!O:O,"Closed",Action_Register!J:J,"Critical",Action_Register!W:W,"&gt;"&amp;P450,Action_Register!W:W,"&lt;="&amp;E450)))</f>
        <v/>
      </c>
    </row>
    <row r="451">
      <c r="P451">
        <f>IF(E451="","",IFERROR(OFFSET(E451,-1,0),""))</f>
        <v/>
      </c>
      <c r="Q451">
        <f>IF(E451="","",IF(P451="",COUNTIFS(Action_Register!O:O,"Closed",Action_Register!W:W,"&lt;="&amp;E451),COUNTIFS(Action_Register!O:O,"Closed",Action_Register!W:W,"&gt;"&amp;P451,Action_Register!W:W,"&lt;="&amp;E451)))</f>
        <v/>
      </c>
      <c r="R451">
        <f>IF(E451="","",IF(P451="",COUNTIFS(Action_Register!O:O,"Closed",Action_Register!J:J,"Critical",Action_Register!W:W,"&lt;="&amp;E451),COUNTIFS(Action_Register!O:O,"Closed",Action_Register!J:J,"Critical",Action_Register!W:W,"&gt;"&amp;P451,Action_Register!W:W,"&lt;="&amp;E451)))</f>
        <v/>
      </c>
    </row>
    <row r="452">
      <c r="P452">
        <f>IF(E452="","",IFERROR(OFFSET(E452,-1,0),""))</f>
        <v/>
      </c>
      <c r="Q452">
        <f>IF(E452="","",IF(P452="",COUNTIFS(Action_Register!O:O,"Closed",Action_Register!W:W,"&lt;="&amp;E452),COUNTIFS(Action_Register!O:O,"Closed",Action_Register!W:W,"&gt;"&amp;P452,Action_Register!W:W,"&lt;="&amp;E452)))</f>
        <v/>
      </c>
      <c r="R452">
        <f>IF(E452="","",IF(P452="",COUNTIFS(Action_Register!O:O,"Closed",Action_Register!J:J,"Critical",Action_Register!W:W,"&lt;="&amp;E452),COUNTIFS(Action_Register!O:O,"Closed",Action_Register!J:J,"Critical",Action_Register!W:W,"&gt;"&amp;P452,Action_Register!W:W,"&lt;="&amp;E452)))</f>
        <v/>
      </c>
    </row>
    <row r="453">
      <c r="P453">
        <f>IF(E453="","",IFERROR(OFFSET(E453,-1,0),""))</f>
        <v/>
      </c>
      <c r="Q453">
        <f>IF(E453="","",IF(P453="",COUNTIFS(Action_Register!O:O,"Closed",Action_Register!W:W,"&lt;="&amp;E453),COUNTIFS(Action_Register!O:O,"Closed",Action_Register!W:W,"&gt;"&amp;P453,Action_Register!W:W,"&lt;="&amp;E453)))</f>
        <v/>
      </c>
      <c r="R453">
        <f>IF(E453="","",IF(P453="",COUNTIFS(Action_Register!O:O,"Closed",Action_Register!J:J,"Critical",Action_Register!W:W,"&lt;="&amp;E453),COUNTIFS(Action_Register!O:O,"Closed",Action_Register!J:J,"Critical",Action_Register!W:W,"&gt;"&amp;P453,Action_Register!W:W,"&lt;="&amp;E453)))</f>
        <v/>
      </c>
    </row>
    <row r="454">
      <c r="P454">
        <f>IF(E454="","",IFERROR(OFFSET(E454,-1,0),""))</f>
        <v/>
      </c>
      <c r="Q454">
        <f>IF(E454="","",IF(P454="",COUNTIFS(Action_Register!O:O,"Closed",Action_Register!W:W,"&lt;="&amp;E454),COUNTIFS(Action_Register!O:O,"Closed",Action_Register!W:W,"&gt;"&amp;P454,Action_Register!W:W,"&lt;="&amp;E454)))</f>
        <v/>
      </c>
      <c r="R454">
        <f>IF(E454="","",IF(P454="",COUNTIFS(Action_Register!O:O,"Closed",Action_Register!J:J,"Critical",Action_Register!W:W,"&lt;="&amp;E454),COUNTIFS(Action_Register!O:O,"Closed",Action_Register!J:J,"Critical",Action_Register!W:W,"&gt;"&amp;P454,Action_Register!W:W,"&lt;="&amp;E454)))</f>
        <v/>
      </c>
    </row>
    <row r="455">
      <c r="P455">
        <f>IF(E455="","",IFERROR(OFFSET(E455,-1,0),""))</f>
        <v/>
      </c>
      <c r="Q455">
        <f>IF(E455="","",IF(P455="",COUNTIFS(Action_Register!O:O,"Closed",Action_Register!W:W,"&lt;="&amp;E455),COUNTIFS(Action_Register!O:O,"Closed",Action_Register!W:W,"&gt;"&amp;P455,Action_Register!W:W,"&lt;="&amp;E455)))</f>
        <v/>
      </c>
      <c r="R455">
        <f>IF(E455="","",IF(P455="",COUNTIFS(Action_Register!O:O,"Closed",Action_Register!J:J,"Critical",Action_Register!W:W,"&lt;="&amp;E455),COUNTIFS(Action_Register!O:O,"Closed",Action_Register!J:J,"Critical",Action_Register!W:W,"&gt;"&amp;P455,Action_Register!W:W,"&lt;="&amp;E455)))</f>
        <v/>
      </c>
    </row>
    <row r="456">
      <c r="P456">
        <f>IF(E456="","",IFERROR(OFFSET(E456,-1,0),""))</f>
        <v/>
      </c>
      <c r="Q456">
        <f>IF(E456="","",IF(P456="",COUNTIFS(Action_Register!O:O,"Closed",Action_Register!W:W,"&lt;="&amp;E456),COUNTIFS(Action_Register!O:O,"Closed",Action_Register!W:W,"&gt;"&amp;P456,Action_Register!W:W,"&lt;="&amp;E456)))</f>
        <v/>
      </c>
      <c r="R456">
        <f>IF(E456="","",IF(P456="",COUNTIFS(Action_Register!O:O,"Closed",Action_Register!J:J,"Critical",Action_Register!W:W,"&lt;="&amp;E456),COUNTIFS(Action_Register!O:O,"Closed",Action_Register!J:J,"Critical",Action_Register!W:W,"&gt;"&amp;P456,Action_Register!W:W,"&lt;="&amp;E456)))</f>
        <v/>
      </c>
    </row>
    <row r="457">
      <c r="P457">
        <f>IF(E457="","",IFERROR(OFFSET(E457,-1,0),""))</f>
        <v/>
      </c>
      <c r="Q457">
        <f>IF(E457="","",IF(P457="",COUNTIFS(Action_Register!O:O,"Closed",Action_Register!W:W,"&lt;="&amp;E457),COUNTIFS(Action_Register!O:O,"Closed",Action_Register!W:W,"&gt;"&amp;P457,Action_Register!W:W,"&lt;="&amp;E457)))</f>
        <v/>
      </c>
      <c r="R457">
        <f>IF(E457="","",IF(P457="",COUNTIFS(Action_Register!O:O,"Closed",Action_Register!J:J,"Critical",Action_Register!W:W,"&lt;="&amp;E457),COUNTIFS(Action_Register!O:O,"Closed",Action_Register!J:J,"Critical",Action_Register!W:W,"&gt;"&amp;P457,Action_Register!W:W,"&lt;="&amp;E457)))</f>
        <v/>
      </c>
    </row>
    <row r="458">
      <c r="P458">
        <f>IF(E458="","",IFERROR(OFFSET(E458,-1,0),""))</f>
        <v/>
      </c>
      <c r="Q458">
        <f>IF(E458="","",IF(P458="",COUNTIFS(Action_Register!O:O,"Closed",Action_Register!W:W,"&lt;="&amp;E458),COUNTIFS(Action_Register!O:O,"Closed",Action_Register!W:W,"&gt;"&amp;P458,Action_Register!W:W,"&lt;="&amp;E458)))</f>
        <v/>
      </c>
      <c r="R458">
        <f>IF(E458="","",IF(P458="",COUNTIFS(Action_Register!O:O,"Closed",Action_Register!J:J,"Critical",Action_Register!W:W,"&lt;="&amp;E458),COUNTIFS(Action_Register!O:O,"Closed",Action_Register!J:J,"Critical",Action_Register!W:W,"&gt;"&amp;P458,Action_Register!W:W,"&lt;="&amp;E458)))</f>
        <v/>
      </c>
    </row>
    <row r="459">
      <c r="P459">
        <f>IF(E459="","",IFERROR(OFFSET(E459,-1,0),""))</f>
        <v/>
      </c>
      <c r="Q459">
        <f>IF(E459="","",IF(P459="",COUNTIFS(Action_Register!O:O,"Closed",Action_Register!W:W,"&lt;="&amp;E459),COUNTIFS(Action_Register!O:O,"Closed",Action_Register!W:W,"&gt;"&amp;P459,Action_Register!W:W,"&lt;="&amp;E459)))</f>
        <v/>
      </c>
      <c r="R459">
        <f>IF(E459="","",IF(P459="",COUNTIFS(Action_Register!O:O,"Closed",Action_Register!J:J,"Critical",Action_Register!W:W,"&lt;="&amp;E459),COUNTIFS(Action_Register!O:O,"Closed",Action_Register!J:J,"Critical",Action_Register!W:W,"&gt;"&amp;P459,Action_Register!W:W,"&lt;="&amp;E459)))</f>
        <v/>
      </c>
    </row>
    <row r="460">
      <c r="P460">
        <f>IF(E460="","",IFERROR(OFFSET(E460,-1,0),""))</f>
        <v/>
      </c>
      <c r="Q460">
        <f>IF(E460="","",IF(P460="",COUNTIFS(Action_Register!O:O,"Closed",Action_Register!W:W,"&lt;="&amp;E460),COUNTIFS(Action_Register!O:O,"Closed",Action_Register!W:W,"&gt;"&amp;P460,Action_Register!W:W,"&lt;="&amp;E460)))</f>
        <v/>
      </c>
      <c r="R460">
        <f>IF(E460="","",IF(P460="",COUNTIFS(Action_Register!O:O,"Closed",Action_Register!J:J,"Critical",Action_Register!W:W,"&lt;="&amp;E460),COUNTIFS(Action_Register!O:O,"Closed",Action_Register!J:J,"Critical",Action_Register!W:W,"&gt;"&amp;P460,Action_Register!W:W,"&lt;="&amp;E460)))</f>
        <v/>
      </c>
    </row>
    <row r="461">
      <c r="P461">
        <f>IF(E461="","",IFERROR(OFFSET(E461,-1,0),""))</f>
        <v/>
      </c>
      <c r="Q461">
        <f>IF(E461="","",IF(P461="",COUNTIFS(Action_Register!O:O,"Closed",Action_Register!W:W,"&lt;="&amp;E461),COUNTIFS(Action_Register!O:O,"Closed",Action_Register!W:W,"&gt;"&amp;P461,Action_Register!W:W,"&lt;="&amp;E461)))</f>
        <v/>
      </c>
      <c r="R461">
        <f>IF(E461="","",IF(P461="",COUNTIFS(Action_Register!O:O,"Closed",Action_Register!J:J,"Critical",Action_Register!W:W,"&lt;="&amp;E461),COUNTIFS(Action_Register!O:O,"Closed",Action_Register!J:J,"Critical",Action_Register!W:W,"&gt;"&amp;P461,Action_Register!W:W,"&lt;="&amp;E461)))</f>
        <v/>
      </c>
    </row>
    <row r="462">
      <c r="P462">
        <f>IF(E462="","",IFERROR(OFFSET(E462,-1,0),""))</f>
        <v/>
      </c>
      <c r="Q462">
        <f>IF(E462="","",IF(P462="",COUNTIFS(Action_Register!O:O,"Closed",Action_Register!W:W,"&lt;="&amp;E462),COUNTIFS(Action_Register!O:O,"Closed",Action_Register!W:W,"&gt;"&amp;P462,Action_Register!W:W,"&lt;="&amp;E462)))</f>
        <v/>
      </c>
      <c r="R462">
        <f>IF(E462="","",IF(P462="",COUNTIFS(Action_Register!O:O,"Closed",Action_Register!J:J,"Critical",Action_Register!W:W,"&lt;="&amp;E462),COUNTIFS(Action_Register!O:O,"Closed",Action_Register!J:J,"Critical",Action_Register!W:W,"&gt;"&amp;P462,Action_Register!W:W,"&lt;="&amp;E462)))</f>
        <v/>
      </c>
    </row>
    <row r="463">
      <c r="P463">
        <f>IF(E463="","",IFERROR(OFFSET(E463,-1,0),""))</f>
        <v/>
      </c>
      <c r="Q463">
        <f>IF(E463="","",IF(P463="",COUNTIFS(Action_Register!O:O,"Closed",Action_Register!W:W,"&lt;="&amp;E463),COUNTIFS(Action_Register!O:O,"Closed",Action_Register!W:W,"&gt;"&amp;P463,Action_Register!W:W,"&lt;="&amp;E463)))</f>
        <v/>
      </c>
      <c r="R463">
        <f>IF(E463="","",IF(P463="",COUNTIFS(Action_Register!O:O,"Closed",Action_Register!J:J,"Critical",Action_Register!W:W,"&lt;="&amp;E463),COUNTIFS(Action_Register!O:O,"Closed",Action_Register!J:J,"Critical",Action_Register!W:W,"&gt;"&amp;P463,Action_Register!W:W,"&lt;="&amp;E463)))</f>
        <v/>
      </c>
    </row>
    <row r="464">
      <c r="P464">
        <f>IF(E464="","",IFERROR(OFFSET(E464,-1,0),""))</f>
        <v/>
      </c>
      <c r="Q464">
        <f>IF(E464="","",IF(P464="",COUNTIFS(Action_Register!O:O,"Closed",Action_Register!W:W,"&lt;="&amp;E464),COUNTIFS(Action_Register!O:O,"Closed",Action_Register!W:W,"&gt;"&amp;P464,Action_Register!W:W,"&lt;="&amp;E464)))</f>
        <v/>
      </c>
      <c r="R464">
        <f>IF(E464="","",IF(P464="",COUNTIFS(Action_Register!O:O,"Closed",Action_Register!J:J,"Critical",Action_Register!W:W,"&lt;="&amp;E464),COUNTIFS(Action_Register!O:O,"Closed",Action_Register!J:J,"Critical",Action_Register!W:W,"&gt;"&amp;P464,Action_Register!W:W,"&lt;="&amp;E464)))</f>
        <v/>
      </c>
    </row>
    <row r="465">
      <c r="P465">
        <f>IF(E465="","",IFERROR(OFFSET(E465,-1,0),""))</f>
        <v/>
      </c>
      <c r="Q465">
        <f>IF(E465="","",IF(P465="",COUNTIFS(Action_Register!O:O,"Closed",Action_Register!W:W,"&lt;="&amp;E465),COUNTIFS(Action_Register!O:O,"Closed",Action_Register!W:W,"&gt;"&amp;P465,Action_Register!W:W,"&lt;="&amp;E465)))</f>
        <v/>
      </c>
      <c r="R465">
        <f>IF(E465="","",IF(P465="",COUNTIFS(Action_Register!O:O,"Closed",Action_Register!J:J,"Critical",Action_Register!W:W,"&lt;="&amp;E465),COUNTIFS(Action_Register!O:O,"Closed",Action_Register!J:J,"Critical",Action_Register!W:W,"&gt;"&amp;P465,Action_Register!W:W,"&lt;="&amp;E465)))</f>
        <v/>
      </c>
    </row>
    <row r="466">
      <c r="P466">
        <f>IF(E466="","",IFERROR(OFFSET(E466,-1,0),""))</f>
        <v/>
      </c>
      <c r="Q466">
        <f>IF(E466="","",IF(P466="",COUNTIFS(Action_Register!O:O,"Closed",Action_Register!W:W,"&lt;="&amp;E466),COUNTIFS(Action_Register!O:O,"Closed",Action_Register!W:W,"&gt;"&amp;P466,Action_Register!W:W,"&lt;="&amp;E466)))</f>
        <v/>
      </c>
      <c r="R466">
        <f>IF(E466="","",IF(P466="",COUNTIFS(Action_Register!O:O,"Closed",Action_Register!J:J,"Critical",Action_Register!W:W,"&lt;="&amp;E466),COUNTIFS(Action_Register!O:O,"Closed",Action_Register!J:J,"Critical",Action_Register!W:W,"&gt;"&amp;P466,Action_Register!W:W,"&lt;="&amp;E466)))</f>
        <v/>
      </c>
    </row>
    <row r="467">
      <c r="P467">
        <f>IF(E467="","",IFERROR(OFFSET(E467,-1,0),""))</f>
        <v/>
      </c>
      <c r="Q467">
        <f>IF(E467="","",IF(P467="",COUNTIFS(Action_Register!O:O,"Closed",Action_Register!W:W,"&lt;="&amp;E467),COUNTIFS(Action_Register!O:O,"Closed",Action_Register!W:W,"&gt;"&amp;P467,Action_Register!W:W,"&lt;="&amp;E467)))</f>
        <v/>
      </c>
      <c r="R467">
        <f>IF(E467="","",IF(P467="",COUNTIFS(Action_Register!O:O,"Closed",Action_Register!J:J,"Critical",Action_Register!W:W,"&lt;="&amp;E467),COUNTIFS(Action_Register!O:O,"Closed",Action_Register!J:J,"Critical",Action_Register!W:W,"&gt;"&amp;P467,Action_Register!W:W,"&lt;="&amp;E467)))</f>
        <v/>
      </c>
    </row>
    <row r="468">
      <c r="P468">
        <f>IF(E468="","",IFERROR(OFFSET(E468,-1,0),""))</f>
        <v/>
      </c>
      <c r="Q468">
        <f>IF(E468="","",IF(P468="",COUNTIFS(Action_Register!O:O,"Closed",Action_Register!W:W,"&lt;="&amp;E468),COUNTIFS(Action_Register!O:O,"Closed",Action_Register!W:W,"&gt;"&amp;P468,Action_Register!W:W,"&lt;="&amp;E468)))</f>
        <v/>
      </c>
      <c r="R468">
        <f>IF(E468="","",IF(P468="",COUNTIFS(Action_Register!O:O,"Closed",Action_Register!J:J,"Critical",Action_Register!W:W,"&lt;="&amp;E468),COUNTIFS(Action_Register!O:O,"Closed",Action_Register!J:J,"Critical",Action_Register!W:W,"&gt;"&amp;P468,Action_Register!W:W,"&lt;="&amp;E468)))</f>
        <v/>
      </c>
    </row>
    <row r="469">
      <c r="P469">
        <f>IF(E469="","",IFERROR(OFFSET(E469,-1,0),""))</f>
        <v/>
      </c>
      <c r="Q469">
        <f>IF(E469="","",IF(P469="",COUNTIFS(Action_Register!O:O,"Closed",Action_Register!W:W,"&lt;="&amp;E469),COUNTIFS(Action_Register!O:O,"Closed",Action_Register!W:W,"&gt;"&amp;P469,Action_Register!W:W,"&lt;="&amp;E469)))</f>
        <v/>
      </c>
      <c r="R469">
        <f>IF(E469="","",IF(P469="",COUNTIFS(Action_Register!O:O,"Closed",Action_Register!J:J,"Critical",Action_Register!W:W,"&lt;="&amp;E469),COUNTIFS(Action_Register!O:O,"Closed",Action_Register!J:J,"Critical",Action_Register!W:W,"&gt;"&amp;P469,Action_Register!W:W,"&lt;="&amp;E469)))</f>
        <v/>
      </c>
    </row>
    <row r="470">
      <c r="P470">
        <f>IF(E470="","",IFERROR(OFFSET(E470,-1,0),""))</f>
        <v/>
      </c>
      <c r="Q470">
        <f>IF(E470="","",IF(P470="",COUNTIFS(Action_Register!O:O,"Closed",Action_Register!W:W,"&lt;="&amp;E470),COUNTIFS(Action_Register!O:O,"Closed",Action_Register!W:W,"&gt;"&amp;P470,Action_Register!W:W,"&lt;="&amp;E470)))</f>
        <v/>
      </c>
      <c r="R470">
        <f>IF(E470="","",IF(P470="",COUNTIFS(Action_Register!O:O,"Closed",Action_Register!J:J,"Critical",Action_Register!W:W,"&lt;="&amp;E470),COUNTIFS(Action_Register!O:O,"Closed",Action_Register!J:J,"Critical",Action_Register!W:W,"&gt;"&amp;P470,Action_Register!W:W,"&lt;="&amp;E470)))</f>
        <v/>
      </c>
    </row>
    <row r="471">
      <c r="P471">
        <f>IF(E471="","",IFERROR(OFFSET(E471,-1,0),""))</f>
        <v/>
      </c>
      <c r="Q471">
        <f>IF(E471="","",IF(P471="",COUNTIFS(Action_Register!O:O,"Closed",Action_Register!W:W,"&lt;="&amp;E471),COUNTIFS(Action_Register!O:O,"Closed",Action_Register!W:W,"&gt;"&amp;P471,Action_Register!W:W,"&lt;="&amp;E471)))</f>
        <v/>
      </c>
      <c r="R471">
        <f>IF(E471="","",IF(P471="",COUNTIFS(Action_Register!O:O,"Closed",Action_Register!J:J,"Critical",Action_Register!W:W,"&lt;="&amp;E471),COUNTIFS(Action_Register!O:O,"Closed",Action_Register!J:J,"Critical",Action_Register!W:W,"&gt;"&amp;P471,Action_Register!W:W,"&lt;="&amp;E471)))</f>
        <v/>
      </c>
    </row>
    <row r="472">
      <c r="P472">
        <f>IF(E472="","",IFERROR(OFFSET(E472,-1,0),""))</f>
        <v/>
      </c>
      <c r="Q472">
        <f>IF(E472="","",IF(P472="",COUNTIFS(Action_Register!O:O,"Closed",Action_Register!W:W,"&lt;="&amp;E472),COUNTIFS(Action_Register!O:O,"Closed",Action_Register!W:W,"&gt;"&amp;P472,Action_Register!W:W,"&lt;="&amp;E472)))</f>
        <v/>
      </c>
      <c r="R472">
        <f>IF(E472="","",IF(P472="",COUNTIFS(Action_Register!O:O,"Closed",Action_Register!J:J,"Critical",Action_Register!W:W,"&lt;="&amp;E472),COUNTIFS(Action_Register!O:O,"Closed",Action_Register!J:J,"Critical",Action_Register!W:W,"&gt;"&amp;P472,Action_Register!W:W,"&lt;="&amp;E472)))</f>
        <v/>
      </c>
    </row>
    <row r="473">
      <c r="P473">
        <f>IF(E473="","",IFERROR(OFFSET(E473,-1,0),""))</f>
        <v/>
      </c>
      <c r="Q473">
        <f>IF(E473="","",IF(P473="",COUNTIFS(Action_Register!O:O,"Closed",Action_Register!W:W,"&lt;="&amp;E473),COUNTIFS(Action_Register!O:O,"Closed",Action_Register!W:W,"&gt;"&amp;P473,Action_Register!W:W,"&lt;="&amp;E473)))</f>
        <v/>
      </c>
      <c r="R473">
        <f>IF(E473="","",IF(P473="",COUNTIFS(Action_Register!O:O,"Closed",Action_Register!J:J,"Critical",Action_Register!W:W,"&lt;="&amp;E473),COUNTIFS(Action_Register!O:O,"Closed",Action_Register!J:J,"Critical",Action_Register!W:W,"&gt;"&amp;P473,Action_Register!W:W,"&lt;="&amp;E473)))</f>
        <v/>
      </c>
    </row>
    <row r="474">
      <c r="P474">
        <f>IF(E474="","",IFERROR(OFFSET(E474,-1,0),""))</f>
        <v/>
      </c>
      <c r="Q474">
        <f>IF(E474="","",IF(P474="",COUNTIFS(Action_Register!O:O,"Closed",Action_Register!W:W,"&lt;="&amp;E474),COUNTIFS(Action_Register!O:O,"Closed",Action_Register!W:W,"&gt;"&amp;P474,Action_Register!W:W,"&lt;="&amp;E474)))</f>
        <v/>
      </c>
      <c r="R474">
        <f>IF(E474="","",IF(P474="",COUNTIFS(Action_Register!O:O,"Closed",Action_Register!J:J,"Critical",Action_Register!W:W,"&lt;="&amp;E474),COUNTIFS(Action_Register!O:O,"Closed",Action_Register!J:J,"Critical",Action_Register!W:W,"&gt;"&amp;P474,Action_Register!W:W,"&lt;="&amp;E474)))</f>
        <v/>
      </c>
    </row>
    <row r="475">
      <c r="P475">
        <f>IF(E475="","",IFERROR(OFFSET(E475,-1,0),""))</f>
        <v/>
      </c>
      <c r="Q475">
        <f>IF(E475="","",IF(P475="",COUNTIFS(Action_Register!O:O,"Closed",Action_Register!W:W,"&lt;="&amp;E475),COUNTIFS(Action_Register!O:O,"Closed",Action_Register!W:W,"&gt;"&amp;P475,Action_Register!W:W,"&lt;="&amp;E475)))</f>
        <v/>
      </c>
      <c r="R475">
        <f>IF(E475="","",IF(P475="",COUNTIFS(Action_Register!O:O,"Closed",Action_Register!J:J,"Critical",Action_Register!W:W,"&lt;="&amp;E475),COUNTIFS(Action_Register!O:O,"Closed",Action_Register!J:J,"Critical",Action_Register!W:W,"&gt;"&amp;P475,Action_Register!W:W,"&lt;="&amp;E475)))</f>
        <v/>
      </c>
    </row>
    <row r="476">
      <c r="P476">
        <f>IF(E476="","",IFERROR(OFFSET(E476,-1,0),""))</f>
        <v/>
      </c>
      <c r="Q476">
        <f>IF(E476="","",IF(P476="",COUNTIFS(Action_Register!O:O,"Closed",Action_Register!W:W,"&lt;="&amp;E476),COUNTIFS(Action_Register!O:O,"Closed",Action_Register!W:W,"&gt;"&amp;P476,Action_Register!W:W,"&lt;="&amp;E476)))</f>
        <v/>
      </c>
      <c r="R476">
        <f>IF(E476="","",IF(P476="",COUNTIFS(Action_Register!O:O,"Closed",Action_Register!J:J,"Critical",Action_Register!W:W,"&lt;="&amp;E476),COUNTIFS(Action_Register!O:O,"Closed",Action_Register!J:J,"Critical",Action_Register!W:W,"&gt;"&amp;P476,Action_Register!W:W,"&lt;="&amp;E476)))</f>
        <v/>
      </c>
    </row>
    <row r="477">
      <c r="P477">
        <f>IF(E477="","",IFERROR(OFFSET(E477,-1,0),""))</f>
        <v/>
      </c>
      <c r="Q477">
        <f>IF(E477="","",IF(P477="",COUNTIFS(Action_Register!O:O,"Closed",Action_Register!W:W,"&lt;="&amp;E477),COUNTIFS(Action_Register!O:O,"Closed",Action_Register!W:W,"&gt;"&amp;P477,Action_Register!W:W,"&lt;="&amp;E477)))</f>
        <v/>
      </c>
      <c r="R477">
        <f>IF(E477="","",IF(P477="",COUNTIFS(Action_Register!O:O,"Closed",Action_Register!J:J,"Critical",Action_Register!W:W,"&lt;="&amp;E477),COUNTIFS(Action_Register!O:O,"Closed",Action_Register!J:J,"Critical",Action_Register!W:W,"&gt;"&amp;P477,Action_Register!W:W,"&lt;="&amp;E477)))</f>
        <v/>
      </c>
    </row>
    <row r="478">
      <c r="P478">
        <f>IF(E478="","",IFERROR(OFFSET(E478,-1,0),""))</f>
        <v/>
      </c>
      <c r="Q478">
        <f>IF(E478="","",IF(P478="",COUNTIFS(Action_Register!O:O,"Closed",Action_Register!W:W,"&lt;="&amp;E478),COUNTIFS(Action_Register!O:O,"Closed",Action_Register!W:W,"&gt;"&amp;P478,Action_Register!W:W,"&lt;="&amp;E478)))</f>
        <v/>
      </c>
      <c r="R478">
        <f>IF(E478="","",IF(P478="",COUNTIFS(Action_Register!O:O,"Closed",Action_Register!J:J,"Critical",Action_Register!W:W,"&lt;="&amp;E478),COUNTIFS(Action_Register!O:O,"Closed",Action_Register!J:J,"Critical",Action_Register!W:W,"&gt;"&amp;P478,Action_Register!W:W,"&lt;="&amp;E478)))</f>
        <v/>
      </c>
    </row>
    <row r="479">
      <c r="P479">
        <f>IF(E479="","",IFERROR(OFFSET(E479,-1,0),""))</f>
        <v/>
      </c>
      <c r="Q479">
        <f>IF(E479="","",IF(P479="",COUNTIFS(Action_Register!O:O,"Closed",Action_Register!W:W,"&lt;="&amp;E479),COUNTIFS(Action_Register!O:O,"Closed",Action_Register!W:W,"&gt;"&amp;P479,Action_Register!W:W,"&lt;="&amp;E479)))</f>
        <v/>
      </c>
      <c r="R479">
        <f>IF(E479="","",IF(P479="",COUNTIFS(Action_Register!O:O,"Closed",Action_Register!J:J,"Critical",Action_Register!W:W,"&lt;="&amp;E479),COUNTIFS(Action_Register!O:O,"Closed",Action_Register!J:J,"Critical",Action_Register!W:W,"&gt;"&amp;P479,Action_Register!W:W,"&lt;="&amp;E479)))</f>
        <v/>
      </c>
    </row>
    <row r="480">
      <c r="P480">
        <f>IF(E480="","",IFERROR(OFFSET(E480,-1,0),""))</f>
        <v/>
      </c>
      <c r="Q480">
        <f>IF(E480="","",IF(P480="",COUNTIFS(Action_Register!O:O,"Closed",Action_Register!W:W,"&lt;="&amp;E480),COUNTIFS(Action_Register!O:O,"Closed",Action_Register!W:W,"&gt;"&amp;P480,Action_Register!W:W,"&lt;="&amp;E480)))</f>
        <v/>
      </c>
      <c r="R480">
        <f>IF(E480="","",IF(P480="",COUNTIFS(Action_Register!O:O,"Closed",Action_Register!J:J,"Critical",Action_Register!W:W,"&lt;="&amp;E480),COUNTIFS(Action_Register!O:O,"Closed",Action_Register!J:J,"Critical",Action_Register!W:W,"&gt;"&amp;P480,Action_Register!W:W,"&lt;="&amp;E480)))</f>
        <v/>
      </c>
    </row>
    <row r="481">
      <c r="P481">
        <f>IF(E481="","",IFERROR(OFFSET(E481,-1,0),""))</f>
        <v/>
      </c>
      <c r="Q481">
        <f>IF(E481="","",IF(P481="",COUNTIFS(Action_Register!O:O,"Closed",Action_Register!W:W,"&lt;="&amp;E481),COUNTIFS(Action_Register!O:O,"Closed",Action_Register!W:W,"&gt;"&amp;P481,Action_Register!W:W,"&lt;="&amp;E481)))</f>
        <v/>
      </c>
      <c r="R481">
        <f>IF(E481="","",IF(P481="",COUNTIFS(Action_Register!O:O,"Closed",Action_Register!J:J,"Critical",Action_Register!W:W,"&lt;="&amp;E481),COUNTIFS(Action_Register!O:O,"Closed",Action_Register!J:J,"Critical",Action_Register!W:W,"&gt;"&amp;P481,Action_Register!W:W,"&lt;="&amp;E481)))</f>
        <v/>
      </c>
    </row>
    <row r="482">
      <c r="P482">
        <f>IF(E482="","",IFERROR(OFFSET(E482,-1,0),""))</f>
        <v/>
      </c>
      <c r="Q482">
        <f>IF(E482="","",IF(P482="",COUNTIFS(Action_Register!O:O,"Closed",Action_Register!W:W,"&lt;="&amp;E482),COUNTIFS(Action_Register!O:O,"Closed",Action_Register!W:W,"&gt;"&amp;P482,Action_Register!W:W,"&lt;="&amp;E482)))</f>
        <v/>
      </c>
      <c r="R482">
        <f>IF(E482="","",IF(P482="",COUNTIFS(Action_Register!O:O,"Closed",Action_Register!J:J,"Critical",Action_Register!W:W,"&lt;="&amp;E482),COUNTIFS(Action_Register!O:O,"Closed",Action_Register!J:J,"Critical",Action_Register!W:W,"&gt;"&amp;P482,Action_Register!W:W,"&lt;="&amp;E482)))</f>
        <v/>
      </c>
    </row>
    <row r="483">
      <c r="P483">
        <f>IF(E483="","",IFERROR(OFFSET(E483,-1,0),""))</f>
        <v/>
      </c>
      <c r="Q483">
        <f>IF(E483="","",IF(P483="",COUNTIFS(Action_Register!O:O,"Closed",Action_Register!W:W,"&lt;="&amp;E483),COUNTIFS(Action_Register!O:O,"Closed",Action_Register!W:W,"&gt;"&amp;P483,Action_Register!W:W,"&lt;="&amp;E483)))</f>
        <v/>
      </c>
      <c r="R483">
        <f>IF(E483="","",IF(P483="",COUNTIFS(Action_Register!O:O,"Closed",Action_Register!J:J,"Critical",Action_Register!W:W,"&lt;="&amp;E483),COUNTIFS(Action_Register!O:O,"Closed",Action_Register!J:J,"Critical",Action_Register!W:W,"&gt;"&amp;P483,Action_Register!W:W,"&lt;="&amp;E483)))</f>
        <v/>
      </c>
    </row>
    <row r="484">
      <c r="P484">
        <f>IF(E484="","",IFERROR(OFFSET(E484,-1,0),""))</f>
        <v/>
      </c>
      <c r="Q484">
        <f>IF(E484="","",IF(P484="",COUNTIFS(Action_Register!O:O,"Closed",Action_Register!W:W,"&lt;="&amp;E484),COUNTIFS(Action_Register!O:O,"Closed",Action_Register!W:W,"&gt;"&amp;P484,Action_Register!W:W,"&lt;="&amp;E484)))</f>
        <v/>
      </c>
      <c r="R484">
        <f>IF(E484="","",IF(P484="",COUNTIFS(Action_Register!O:O,"Closed",Action_Register!J:J,"Critical",Action_Register!W:W,"&lt;="&amp;E484),COUNTIFS(Action_Register!O:O,"Closed",Action_Register!J:J,"Critical",Action_Register!W:W,"&gt;"&amp;P484,Action_Register!W:W,"&lt;="&amp;E484)))</f>
        <v/>
      </c>
    </row>
    <row r="485">
      <c r="P485">
        <f>IF(E485="","",IFERROR(OFFSET(E485,-1,0),""))</f>
        <v/>
      </c>
      <c r="Q485">
        <f>IF(E485="","",IF(P485="",COUNTIFS(Action_Register!O:O,"Closed",Action_Register!W:W,"&lt;="&amp;E485),COUNTIFS(Action_Register!O:O,"Closed",Action_Register!W:W,"&gt;"&amp;P485,Action_Register!W:W,"&lt;="&amp;E485)))</f>
        <v/>
      </c>
      <c r="R485">
        <f>IF(E485="","",IF(P485="",COUNTIFS(Action_Register!O:O,"Closed",Action_Register!J:J,"Critical",Action_Register!W:W,"&lt;="&amp;E485),COUNTIFS(Action_Register!O:O,"Closed",Action_Register!J:J,"Critical",Action_Register!W:W,"&gt;"&amp;P485,Action_Register!W:W,"&lt;="&amp;E485)))</f>
        <v/>
      </c>
    </row>
    <row r="486">
      <c r="P486">
        <f>IF(E486="","",IFERROR(OFFSET(E486,-1,0),""))</f>
        <v/>
      </c>
      <c r="Q486">
        <f>IF(E486="","",IF(P486="",COUNTIFS(Action_Register!O:O,"Closed",Action_Register!W:W,"&lt;="&amp;E486),COUNTIFS(Action_Register!O:O,"Closed",Action_Register!W:W,"&gt;"&amp;P486,Action_Register!W:W,"&lt;="&amp;E486)))</f>
        <v/>
      </c>
      <c r="R486">
        <f>IF(E486="","",IF(P486="",COUNTIFS(Action_Register!O:O,"Closed",Action_Register!J:J,"Critical",Action_Register!W:W,"&lt;="&amp;E486),COUNTIFS(Action_Register!O:O,"Closed",Action_Register!J:J,"Critical",Action_Register!W:W,"&gt;"&amp;P486,Action_Register!W:W,"&lt;="&amp;E486)))</f>
        <v/>
      </c>
    </row>
    <row r="487">
      <c r="P487">
        <f>IF(E487="","",IFERROR(OFFSET(E487,-1,0),""))</f>
        <v/>
      </c>
      <c r="Q487">
        <f>IF(E487="","",IF(P487="",COUNTIFS(Action_Register!O:O,"Closed",Action_Register!W:W,"&lt;="&amp;E487),COUNTIFS(Action_Register!O:O,"Closed",Action_Register!W:W,"&gt;"&amp;P487,Action_Register!W:W,"&lt;="&amp;E487)))</f>
        <v/>
      </c>
      <c r="R487">
        <f>IF(E487="","",IF(P487="",COUNTIFS(Action_Register!O:O,"Closed",Action_Register!J:J,"Critical",Action_Register!W:W,"&lt;="&amp;E487),COUNTIFS(Action_Register!O:O,"Closed",Action_Register!J:J,"Critical",Action_Register!W:W,"&gt;"&amp;P487,Action_Register!W:W,"&lt;="&amp;E487)))</f>
        <v/>
      </c>
    </row>
    <row r="488">
      <c r="P488">
        <f>IF(E488="","",IFERROR(OFFSET(E488,-1,0),""))</f>
        <v/>
      </c>
      <c r="Q488">
        <f>IF(E488="","",IF(P488="",COUNTIFS(Action_Register!O:O,"Closed",Action_Register!W:W,"&lt;="&amp;E488),COUNTIFS(Action_Register!O:O,"Closed",Action_Register!W:W,"&gt;"&amp;P488,Action_Register!W:W,"&lt;="&amp;E488)))</f>
        <v/>
      </c>
      <c r="R488">
        <f>IF(E488="","",IF(P488="",COUNTIFS(Action_Register!O:O,"Closed",Action_Register!J:J,"Critical",Action_Register!W:W,"&lt;="&amp;E488),COUNTIFS(Action_Register!O:O,"Closed",Action_Register!J:J,"Critical",Action_Register!W:W,"&gt;"&amp;P488,Action_Register!W:W,"&lt;="&amp;E488)))</f>
        <v/>
      </c>
    </row>
    <row r="489">
      <c r="P489">
        <f>IF(E489="","",IFERROR(OFFSET(E489,-1,0),""))</f>
        <v/>
      </c>
      <c r="Q489">
        <f>IF(E489="","",IF(P489="",COUNTIFS(Action_Register!O:O,"Closed",Action_Register!W:W,"&lt;="&amp;E489),COUNTIFS(Action_Register!O:O,"Closed",Action_Register!W:W,"&gt;"&amp;P489,Action_Register!W:W,"&lt;="&amp;E489)))</f>
        <v/>
      </c>
      <c r="R489">
        <f>IF(E489="","",IF(P489="",COUNTIFS(Action_Register!O:O,"Closed",Action_Register!J:J,"Critical",Action_Register!W:W,"&lt;="&amp;E489),COUNTIFS(Action_Register!O:O,"Closed",Action_Register!J:J,"Critical",Action_Register!W:W,"&gt;"&amp;P489,Action_Register!W:W,"&lt;="&amp;E489)))</f>
        <v/>
      </c>
    </row>
    <row r="490">
      <c r="P490">
        <f>IF(E490="","",IFERROR(OFFSET(E490,-1,0),""))</f>
        <v/>
      </c>
      <c r="Q490">
        <f>IF(E490="","",IF(P490="",COUNTIFS(Action_Register!O:O,"Closed",Action_Register!W:W,"&lt;="&amp;E490),COUNTIFS(Action_Register!O:O,"Closed",Action_Register!W:W,"&gt;"&amp;P490,Action_Register!W:W,"&lt;="&amp;E490)))</f>
        <v/>
      </c>
      <c r="R490">
        <f>IF(E490="","",IF(P490="",COUNTIFS(Action_Register!O:O,"Closed",Action_Register!J:J,"Critical",Action_Register!W:W,"&lt;="&amp;E490),COUNTIFS(Action_Register!O:O,"Closed",Action_Register!J:J,"Critical",Action_Register!W:W,"&gt;"&amp;P490,Action_Register!W:W,"&lt;="&amp;E490)))</f>
        <v/>
      </c>
    </row>
    <row r="491">
      <c r="P491">
        <f>IF(E491="","",IFERROR(OFFSET(E491,-1,0),""))</f>
        <v/>
      </c>
      <c r="Q491">
        <f>IF(E491="","",IF(P491="",COUNTIFS(Action_Register!O:O,"Closed",Action_Register!W:W,"&lt;="&amp;E491),COUNTIFS(Action_Register!O:O,"Closed",Action_Register!W:W,"&gt;"&amp;P491,Action_Register!W:W,"&lt;="&amp;E491)))</f>
        <v/>
      </c>
      <c r="R491">
        <f>IF(E491="","",IF(P491="",COUNTIFS(Action_Register!O:O,"Closed",Action_Register!J:J,"Critical",Action_Register!W:W,"&lt;="&amp;E491),COUNTIFS(Action_Register!O:O,"Closed",Action_Register!J:J,"Critical",Action_Register!W:W,"&gt;"&amp;P491,Action_Register!W:W,"&lt;="&amp;E491)))</f>
        <v/>
      </c>
    </row>
    <row r="492">
      <c r="P492">
        <f>IF(E492="","",IFERROR(OFFSET(E492,-1,0),""))</f>
        <v/>
      </c>
      <c r="Q492">
        <f>IF(E492="","",IF(P492="",COUNTIFS(Action_Register!O:O,"Closed",Action_Register!W:W,"&lt;="&amp;E492),COUNTIFS(Action_Register!O:O,"Closed",Action_Register!W:W,"&gt;"&amp;P492,Action_Register!W:W,"&lt;="&amp;E492)))</f>
        <v/>
      </c>
      <c r="R492">
        <f>IF(E492="","",IF(P492="",COUNTIFS(Action_Register!O:O,"Closed",Action_Register!J:J,"Critical",Action_Register!W:W,"&lt;="&amp;E492),COUNTIFS(Action_Register!O:O,"Closed",Action_Register!J:J,"Critical",Action_Register!W:W,"&gt;"&amp;P492,Action_Register!W:W,"&lt;="&amp;E492)))</f>
        <v/>
      </c>
    </row>
    <row r="493">
      <c r="P493">
        <f>IF(E493="","",IFERROR(OFFSET(E493,-1,0),""))</f>
        <v/>
      </c>
      <c r="Q493">
        <f>IF(E493="","",IF(P493="",COUNTIFS(Action_Register!O:O,"Closed",Action_Register!W:W,"&lt;="&amp;E493),COUNTIFS(Action_Register!O:O,"Closed",Action_Register!W:W,"&gt;"&amp;P493,Action_Register!W:W,"&lt;="&amp;E493)))</f>
        <v/>
      </c>
      <c r="R493">
        <f>IF(E493="","",IF(P493="",COUNTIFS(Action_Register!O:O,"Closed",Action_Register!J:J,"Critical",Action_Register!W:W,"&lt;="&amp;E493),COUNTIFS(Action_Register!O:O,"Closed",Action_Register!J:J,"Critical",Action_Register!W:W,"&gt;"&amp;P493,Action_Register!W:W,"&lt;="&amp;E493)))</f>
        <v/>
      </c>
    </row>
    <row r="494">
      <c r="P494">
        <f>IF(E494="","",IFERROR(OFFSET(E494,-1,0),""))</f>
        <v/>
      </c>
      <c r="Q494">
        <f>IF(E494="","",IF(P494="",COUNTIFS(Action_Register!O:O,"Closed",Action_Register!W:W,"&lt;="&amp;E494),COUNTIFS(Action_Register!O:O,"Closed",Action_Register!W:W,"&gt;"&amp;P494,Action_Register!W:W,"&lt;="&amp;E494)))</f>
        <v/>
      </c>
      <c r="R494">
        <f>IF(E494="","",IF(P494="",COUNTIFS(Action_Register!O:O,"Closed",Action_Register!J:J,"Critical",Action_Register!W:W,"&lt;="&amp;E494),COUNTIFS(Action_Register!O:O,"Closed",Action_Register!J:J,"Critical",Action_Register!W:W,"&gt;"&amp;P494,Action_Register!W:W,"&lt;="&amp;E494)))</f>
        <v/>
      </c>
    </row>
    <row r="495">
      <c r="P495">
        <f>IF(E495="","",IFERROR(OFFSET(E495,-1,0),""))</f>
        <v/>
      </c>
      <c r="Q495">
        <f>IF(E495="","",IF(P495="",COUNTIFS(Action_Register!O:O,"Closed",Action_Register!W:W,"&lt;="&amp;E495),COUNTIFS(Action_Register!O:O,"Closed",Action_Register!W:W,"&gt;"&amp;P495,Action_Register!W:W,"&lt;="&amp;E495)))</f>
        <v/>
      </c>
      <c r="R495">
        <f>IF(E495="","",IF(P495="",COUNTIFS(Action_Register!O:O,"Closed",Action_Register!J:J,"Critical",Action_Register!W:W,"&lt;="&amp;E495),COUNTIFS(Action_Register!O:O,"Closed",Action_Register!J:J,"Critical",Action_Register!W:W,"&gt;"&amp;P495,Action_Register!W:W,"&lt;="&amp;E495)))</f>
        <v/>
      </c>
    </row>
    <row r="496">
      <c r="P496">
        <f>IF(E496="","",IFERROR(OFFSET(E496,-1,0),""))</f>
        <v/>
      </c>
      <c r="Q496">
        <f>IF(E496="","",IF(P496="",COUNTIFS(Action_Register!O:O,"Closed",Action_Register!W:W,"&lt;="&amp;E496),COUNTIFS(Action_Register!O:O,"Closed",Action_Register!W:W,"&gt;"&amp;P496,Action_Register!W:W,"&lt;="&amp;E496)))</f>
        <v/>
      </c>
      <c r="R496">
        <f>IF(E496="","",IF(P496="",COUNTIFS(Action_Register!O:O,"Closed",Action_Register!J:J,"Critical",Action_Register!W:W,"&lt;="&amp;E496),COUNTIFS(Action_Register!O:O,"Closed",Action_Register!J:J,"Critical",Action_Register!W:W,"&gt;"&amp;P496,Action_Register!W:W,"&lt;="&amp;E496)))</f>
        <v/>
      </c>
    </row>
    <row r="497">
      <c r="P497">
        <f>IF(E497="","",IFERROR(OFFSET(E497,-1,0),""))</f>
        <v/>
      </c>
      <c r="Q497">
        <f>IF(E497="","",IF(P497="",COUNTIFS(Action_Register!O:O,"Closed",Action_Register!W:W,"&lt;="&amp;E497),COUNTIFS(Action_Register!O:O,"Closed",Action_Register!W:W,"&gt;"&amp;P497,Action_Register!W:W,"&lt;="&amp;E497)))</f>
        <v/>
      </c>
      <c r="R497">
        <f>IF(E497="","",IF(P497="",COUNTIFS(Action_Register!O:O,"Closed",Action_Register!J:J,"Critical",Action_Register!W:W,"&lt;="&amp;E497),COUNTIFS(Action_Register!O:O,"Closed",Action_Register!J:J,"Critical",Action_Register!W:W,"&gt;"&amp;P497,Action_Register!W:W,"&lt;="&amp;E497)))</f>
        <v/>
      </c>
    </row>
    <row r="498">
      <c r="P498">
        <f>IF(E498="","",IFERROR(OFFSET(E498,-1,0),""))</f>
        <v/>
      </c>
      <c r="Q498">
        <f>IF(E498="","",IF(P498="",COUNTIFS(Action_Register!O:O,"Closed",Action_Register!W:W,"&lt;="&amp;E498),COUNTIFS(Action_Register!O:O,"Closed",Action_Register!W:W,"&gt;"&amp;P498,Action_Register!W:W,"&lt;="&amp;E498)))</f>
        <v/>
      </c>
      <c r="R498">
        <f>IF(E498="","",IF(P498="",COUNTIFS(Action_Register!O:O,"Closed",Action_Register!J:J,"Critical",Action_Register!W:W,"&lt;="&amp;E498),COUNTIFS(Action_Register!O:O,"Closed",Action_Register!J:J,"Critical",Action_Register!W:W,"&gt;"&amp;P498,Action_Register!W:W,"&lt;="&amp;E498)))</f>
        <v/>
      </c>
    </row>
    <row r="499">
      <c r="P499">
        <f>IF(E499="","",IFERROR(OFFSET(E499,-1,0),""))</f>
        <v/>
      </c>
      <c r="Q499">
        <f>IF(E499="","",IF(P499="",COUNTIFS(Action_Register!O:O,"Closed",Action_Register!W:W,"&lt;="&amp;E499),COUNTIFS(Action_Register!O:O,"Closed",Action_Register!W:W,"&gt;"&amp;P499,Action_Register!W:W,"&lt;="&amp;E499)))</f>
        <v/>
      </c>
      <c r="R499">
        <f>IF(E499="","",IF(P499="",COUNTIFS(Action_Register!O:O,"Closed",Action_Register!J:J,"Critical",Action_Register!W:W,"&lt;="&amp;E499),COUNTIFS(Action_Register!O:O,"Closed",Action_Register!J:J,"Critical",Action_Register!W:W,"&gt;"&amp;P499,Action_Register!W:W,"&lt;="&amp;E499)))</f>
        <v/>
      </c>
    </row>
    <row r="500">
      <c r="P500">
        <f>IF(E500="","",IFERROR(OFFSET(E500,-1,0),""))</f>
        <v/>
      </c>
      <c r="Q500">
        <f>IF(E500="","",IF(P500="",COUNTIFS(Action_Register!O:O,"Closed",Action_Register!W:W,"&lt;="&amp;E500),COUNTIFS(Action_Register!O:O,"Closed",Action_Register!W:W,"&gt;"&amp;P500,Action_Register!W:W,"&lt;="&amp;E500)))</f>
        <v/>
      </c>
      <c r="R500">
        <f>IF(E500="","",IF(P500="",COUNTIFS(Action_Register!O:O,"Closed",Action_Register!J:J,"Critical",Action_Register!W:W,"&lt;="&amp;E500),COUNTIFS(Action_Register!O:O,"Closed",Action_Register!J:J,"Critical",Action_Register!W:W,"&gt;"&amp;P500,Action_Register!W:W,"&lt;="&amp;E500)))</f>
        <v/>
      </c>
    </row>
  </sheetData>
  <autoFilter ref="A1:O1"/>
  <conditionalFormatting sqref="M2:M500">
    <cfRule type="cellIs" priority="1" operator="equal" dxfId="0">
      <formula>"Adverse"</formula>
    </cfRule>
    <cfRule type="cellIs" priority="2" operator="equal" dxfId="2">
      <formula>"Stable"</formula>
    </cfRule>
    <cfRule type="cellIs" priority="3" operator="equal" dxfId="1">
      <formula>"Improving"</formula>
    </cfRule>
  </conditionalFormatting>
  <conditionalFormatting sqref="Q2:Q500">
    <cfRule type="cellIs" priority="4" operator="greaterThanOrEqual" dxfId="1">
      <formula>1</formula>
    </cfRule>
  </conditionalFormatting>
  <dataValidations count="1">
    <dataValidation sqref="D2:D500" showDropDown="0" showInputMessage="0" showErrorMessage="0" allowBlank="1" type="list">
      <formula1>"Baseline,6-Month,12-Month,24-Month"</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0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4" t="inlineStr">
        <is>
          <t>Action_ID</t>
        </is>
      </c>
      <c r="B1" s="24" t="inlineStr">
        <is>
          <t>Risk Driver</t>
        </is>
      </c>
      <c r="C1" s="24" t="inlineStr">
        <is>
          <t>Required Action</t>
        </is>
      </c>
      <c r="D1" s="24" t="inlineStr">
        <is>
          <t>Evidence Required</t>
        </is>
      </c>
      <c r="E1" s="24" t="inlineStr">
        <is>
          <t>Priority</t>
        </is>
      </c>
      <c r="F1" s="24" t="inlineStr">
        <is>
          <t>Responsible Role</t>
        </is>
      </c>
      <c r="G1" s="24" t="inlineStr">
        <is>
          <t>Target Due Date</t>
        </is>
      </c>
      <c r="H1" s="24" t="inlineStr">
        <is>
          <t>Current Status</t>
        </is>
      </c>
      <c r="I1" s="24" t="inlineStr">
        <is>
          <t>Blocking</t>
        </is>
      </c>
    </row>
    <row r="2">
      <c r="A2">
        <f>IFERROR(INDEX(Action_Register!A:A,ROW()-1),"")</f>
        <v/>
      </c>
      <c r="B2">
        <f>IFERROR(INDEX(Action_Register!E:E,ROW()-1),"")</f>
        <v/>
      </c>
      <c r="C2">
        <f>IFERROR(VLOOKUP(INDEX(Action_Register!F:F,ROW()-1),Action_Templates!A:H,8,FALSE),"")</f>
        <v/>
      </c>
      <c r="D2">
        <f>IFERROR(INDEX(Action_Register!AB:AB,ROW()-1),"")</f>
        <v/>
      </c>
      <c r="E2">
        <f>IFERROR(INDEX(Action_Register!J:J,ROW()-1),"")</f>
        <v/>
      </c>
      <c r="F2">
        <f>IFERROR(INDEX(Action_Register!L:L,ROW()-1),"")</f>
        <v/>
      </c>
      <c r="G2">
        <f>IFERROR(INDEX(Action_Register!N:N,ROW()-1),"")</f>
        <v/>
      </c>
      <c r="H2">
        <f>IFERROR(INDEX(Action_Register!O:O,ROW()-1),"")</f>
        <v/>
      </c>
      <c r="I2">
        <f>IFERROR(INDEX(Action_Register!K:K,ROW()-1),"")</f>
        <v/>
      </c>
    </row>
    <row r="3">
      <c r="A3">
        <f>IFERROR(INDEX(Action_Register!A:A,ROW()-1),"")</f>
        <v/>
      </c>
      <c r="B3">
        <f>IFERROR(INDEX(Action_Register!E:E,ROW()-1),"")</f>
        <v/>
      </c>
      <c r="C3">
        <f>IFERROR(VLOOKUP(INDEX(Action_Register!F:F,ROW()-1),Action_Templates!A:H,8,FALSE),"")</f>
        <v/>
      </c>
      <c r="D3">
        <f>IFERROR(INDEX(Action_Register!AB:AB,ROW()-1),"")</f>
        <v/>
      </c>
      <c r="E3">
        <f>IFERROR(INDEX(Action_Register!J:J,ROW()-1),"")</f>
        <v/>
      </c>
      <c r="F3">
        <f>IFERROR(INDEX(Action_Register!L:L,ROW()-1),"")</f>
        <v/>
      </c>
      <c r="G3">
        <f>IFERROR(INDEX(Action_Register!N:N,ROW()-1),"")</f>
        <v/>
      </c>
      <c r="H3">
        <f>IFERROR(INDEX(Action_Register!O:O,ROW()-1),"")</f>
        <v/>
      </c>
      <c r="I3">
        <f>IFERROR(INDEX(Action_Register!K:K,ROW()-1),"")</f>
        <v/>
      </c>
    </row>
    <row r="4">
      <c r="A4">
        <f>IFERROR(INDEX(Action_Register!A:A,ROW()-1),"")</f>
        <v/>
      </c>
      <c r="B4">
        <f>IFERROR(INDEX(Action_Register!E:E,ROW()-1),"")</f>
        <v/>
      </c>
      <c r="C4">
        <f>IFERROR(VLOOKUP(INDEX(Action_Register!F:F,ROW()-1),Action_Templates!A:H,8,FALSE),"")</f>
        <v/>
      </c>
      <c r="D4">
        <f>IFERROR(INDEX(Action_Register!AB:AB,ROW()-1),"")</f>
        <v/>
      </c>
      <c r="E4">
        <f>IFERROR(INDEX(Action_Register!J:J,ROW()-1),"")</f>
        <v/>
      </c>
      <c r="F4">
        <f>IFERROR(INDEX(Action_Register!L:L,ROW()-1),"")</f>
        <v/>
      </c>
      <c r="G4">
        <f>IFERROR(INDEX(Action_Register!N:N,ROW()-1),"")</f>
        <v/>
      </c>
      <c r="H4">
        <f>IFERROR(INDEX(Action_Register!O:O,ROW()-1),"")</f>
        <v/>
      </c>
      <c r="I4">
        <f>IFERROR(INDEX(Action_Register!K:K,ROW()-1),"")</f>
        <v/>
      </c>
    </row>
    <row r="5">
      <c r="A5">
        <f>IFERROR(INDEX(Action_Register!A:A,ROW()-1),"")</f>
        <v/>
      </c>
      <c r="B5">
        <f>IFERROR(INDEX(Action_Register!E:E,ROW()-1),"")</f>
        <v/>
      </c>
      <c r="C5">
        <f>IFERROR(VLOOKUP(INDEX(Action_Register!F:F,ROW()-1),Action_Templates!A:H,8,FALSE),"")</f>
        <v/>
      </c>
      <c r="D5">
        <f>IFERROR(INDEX(Action_Register!AB:AB,ROW()-1),"")</f>
        <v/>
      </c>
      <c r="E5">
        <f>IFERROR(INDEX(Action_Register!J:J,ROW()-1),"")</f>
        <v/>
      </c>
      <c r="F5">
        <f>IFERROR(INDEX(Action_Register!L:L,ROW()-1),"")</f>
        <v/>
      </c>
      <c r="G5">
        <f>IFERROR(INDEX(Action_Register!N:N,ROW()-1),"")</f>
        <v/>
      </c>
      <c r="H5">
        <f>IFERROR(INDEX(Action_Register!O:O,ROW()-1),"")</f>
        <v/>
      </c>
      <c r="I5">
        <f>IFERROR(INDEX(Action_Register!K:K,ROW()-1),"")</f>
        <v/>
      </c>
    </row>
    <row r="6">
      <c r="A6">
        <f>IFERROR(INDEX(Action_Register!A:A,ROW()-1),"")</f>
        <v/>
      </c>
      <c r="B6">
        <f>IFERROR(INDEX(Action_Register!E:E,ROW()-1),"")</f>
        <v/>
      </c>
      <c r="C6">
        <f>IFERROR(VLOOKUP(INDEX(Action_Register!F:F,ROW()-1),Action_Templates!A:H,8,FALSE),"")</f>
        <v/>
      </c>
      <c r="D6">
        <f>IFERROR(INDEX(Action_Register!AB:AB,ROW()-1),"")</f>
        <v/>
      </c>
      <c r="E6">
        <f>IFERROR(INDEX(Action_Register!J:J,ROW()-1),"")</f>
        <v/>
      </c>
      <c r="F6">
        <f>IFERROR(INDEX(Action_Register!L:L,ROW()-1),"")</f>
        <v/>
      </c>
      <c r="G6">
        <f>IFERROR(INDEX(Action_Register!N:N,ROW()-1),"")</f>
        <v/>
      </c>
      <c r="H6">
        <f>IFERROR(INDEX(Action_Register!O:O,ROW()-1),"")</f>
        <v/>
      </c>
      <c r="I6">
        <f>IFERROR(INDEX(Action_Register!K:K,ROW()-1),"")</f>
        <v/>
      </c>
    </row>
    <row r="7">
      <c r="A7">
        <f>IFERROR(INDEX(Action_Register!A:A,ROW()-1),"")</f>
        <v/>
      </c>
      <c r="B7">
        <f>IFERROR(INDEX(Action_Register!E:E,ROW()-1),"")</f>
        <v/>
      </c>
      <c r="C7">
        <f>IFERROR(VLOOKUP(INDEX(Action_Register!F:F,ROW()-1),Action_Templates!A:H,8,FALSE),"")</f>
        <v/>
      </c>
      <c r="D7">
        <f>IFERROR(INDEX(Action_Register!AB:AB,ROW()-1),"")</f>
        <v/>
      </c>
      <c r="E7">
        <f>IFERROR(INDEX(Action_Register!J:J,ROW()-1),"")</f>
        <v/>
      </c>
      <c r="F7">
        <f>IFERROR(INDEX(Action_Register!L:L,ROW()-1),"")</f>
        <v/>
      </c>
      <c r="G7">
        <f>IFERROR(INDEX(Action_Register!N:N,ROW()-1),"")</f>
        <v/>
      </c>
      <c r="H7">
        <f>IFERROR(INDEX(Action_Register!O:O,ROW()-1),"")</f>
        <v/>
      </c>
      <c r="I7">
        <f>IFERROR(INDEX(Action_Register!K:K,ROW()-1),"")</f>
        <v/>
      </c>
    </row>
    <row r="8">
      <c r="A8">
        <f>IFERROR(INDEX(Action_Register!A:A,ROW()-1),"")</f>
        <v/>
      </c>
      <c r="B8">
        <f>IFERROR(INDEX(Action_Register!E:E,ROW()-1),"")</f>
        <v/>
      </c>
      <c r="C8">
        <f>IFERROR(VLOOKUP(INDEX(Action_Register!F:F,ROW()-1),Action_Templates!A:H,8,FALSE),"")</f>
        <v/>
      </c>
      <c r="D8">
        <f>IFERROR(INDEX(Action_Register!AB:AB,ROW()-1),"")</f>
        <v/>
      </c>
      <c r="E8">
        <f>IFERROR(INDEX(Action_Register!J:J,ROW()-1),"")</f>
        <v/>
      </c>
      <c r="F8">
        <f>IFERROR(INDEX(Action_Register!L:L,ROW()-1),"")</f>
        <v/>
      </c>
      <c r="G8">
        <f>IFERROR(INDEX(Action_Register!N:N,ROW()-1),"")</f>
        <v/>
      </c>
      <c r="H8">
        <f>IFERROR(INDEX(Action_Register!O:O,ROW()-1),"")</f>
        <v/>
      </c>
      <c r="I8">
        <f>IFERROR(INDEX(Action_Register!K:K,ROW()-1),"")</f>
        <v/>
      </c>
    </row>
    <row r="9">
      <c r="A9">
        <f>IFERROR(INDEX(Action_Register!A:A,ROW()-1),"")</f>
        <v/>
      </c>
      <c r="B9">
        <f>IFERROR(INDEX(Action_Register!E:E,ROW()-1),"")</f>
        <v/>
      </c>
      <c r="C9">
        <f>IFERROR(VLOOKUP(INDEX(Action_Register!F:F,ROW()-1),Action_Templates!A:H,8,FALSE),"")</f>
        <v/>
      </c>
      <c r="D9">
        <f>IFERROR(INDEX(Action_Register!AB:AB,ROW()-1),"")</f>
        <v/>
      </c>
      <c r="E9">
        <f>IFERROR(INDEX(Action_Register!J:J,ROW()-1),"")</f>
        <v/>
      </c>
      <c r="F9">
        <f>IFERROR(INDEX(Action_Register!L:L,ROW()-1),"")</f>
        <v/>
      </c>
      <c r="G9">
        <f>IFERROR(INDEX(Action_Register!N:N,ROW()-1),"")</f>
        <v/>
      </c>
      <c r="H9">
        <f>IFERROR(INDEX(Action_Register!O:O,ROW()-1),"")</f>
        <v/>
      </c>
      <c r="I9">
        <f>IFERROR(INDEX(Action_Register!K:K,ROW()-1),"")</f>
        <v/>
      </c>
    </row>
    <row r="10">
      <c r="A10">
        <f>IFERROR(INDEX(Action_Register!A:A,ROW()-1),"")</f>
        <v/>
      </c>
      <c r="B10">
        <f>IFERROR(INDEX(Action_Register!E:E,ROW()-1),"")</f>
        <v/>
      </c>
      <c r="C10">
        <f>IFERROR(VLOOKUP(INDEX(Action_Register!F:F,ROW()-1),Action_Templates!A:H,8,FALSE),"")</f>
        <v/>
      </c>
      <c r="D10">
        <f>IFERROR(INDEX(Action_Register!AB:AB,ROW()-1),"")</f>
        <v/>
      </c>
      <c r="E10">
        <f>IFERROR(INDEX(Action_Register!J:J,ROW()-1),"")</f>
        <v/>
      </c>
      <c r="F10">
        <f>IFERROR(INDEX(Action_Register!L:L,ROW()-1),"")</f>
        <v/>
      </c>
      <c r="G10">
        <f>IFERROR(INDEX(Action_Register!N:N,ROW()-1),"")</f>
        <v/>
      </c>
      <c r="H10">
        <f>IFERROR(INDEX(Action_Register!O:O,ROW()-1),"")</f>
        <v/>
      </c>
      <c r="I10">
        <f>IFERROR(INDEX(Action_Register!K:K,ROW()-1),"")</f>
        <v/>
      </c>
    </row>
    <row r="11">
      <c r="A11">
        <f>IFERROR(INDEX(Action_Register!A:A,ROW()-1),"")</f>
        <v/>
      </c>
      <c r="B11">
        <f>IFERROR(INDEX(Action_Register!E:E,ROW()-1),"")</f>
        <v/>
      </c>
      <c r="C11">
        <f>IFERROR(VLOOKUP(INDEX(Action_Register!F:F,ROW()-1),Action_Templates!A:H,8,FALSE),"")</f>
        <v/>
      </c>
      <c r="D11">
        <f>IFERROR(INDEX(Action_Register!AB:AB,ROW()-1),"")</f>
        <v/>
      </c>
      <c r="E11">
        <f>IFERROR(INDEX(Action_Register!J:J,ROW()-1),"")</f>
        <v/>
      </c>
      <c r="F11">
        <f>IFERROR(INDEX(Action_Register!L:L,ROW()-1),"")</f>
        <v/>
      </c>
      <c r="G11">
        <f>IFERROR(INDEX(Action_Register!N:N,ROW()-1),"")</f>
        <v/>
      </c>
      <c r="H11">
        <f>IFERROR(INDEX(Action_Register!O:O,ROW()-1),"")</f>
        <v/>
      </c>
      <c r="I11">
        <f>IFERROR(INDEX(Action_Register!K:K,ROW()-1),"")</f>
        <v/>
      </c>
    </row>
    <row r="12">
      <c r="A12">
        <f>IFERROR(INDEX(Action_Register!A:A,ROW()-1),"")</f>
        <v/>
      </c>
      <c r="B12">
        <f>IFERROR(INDEX(Action_Register!E:E,ROW()-1),"")</f>
        <v/>
      </c>
      <c r="C12">
        <f>IFERROR(VLOOKUP(INDEX(Action_Register!F:F,ROW()-1),Action_Templates!A:H,8,FALSE),"")</f>
        <v/>
      </c>
      <c r="D12">
        <f>IFERROR(INDEX(Action_Register!AB:AB,ROW()-1),"")</f>
        <v/>
      </c>
      <c r="E12">
        <f>IFERROR(INDEX(Action_Register!J:J,ROW()-1),"")</f>
        <v/>
      </c>
      <c r="F12">
        <f>IFERROR(INDEX(Action_Register!L:L,ROW()-1),"")</f>
        <v/>
      </c>
      <c r="G12">
        <f>IFERROR(INDEX(Action_Register!N:N,ROW()-1),"")</f>
        <v/>
      </c>
      <c r="H12">
        <f>IFERROR(INDEX(Action_Register!O:O,ROW()-1),"")</f>
        <v/>
      </c>
      <c r="I12">
        <f>IFERROR(INDEX(Action_Register!K:K,ROW()-1),"")</f>
        <v/>
      </c>
    </row>
    <row r="13">
      <c r="A13">
        <f>IFERROR(INDEX(Action_Register!A:A,ROW()-1),"")</f>
        <v/>
      </c>
      <c r="B13">
        <f>IFERROR(INDEX(Action_Register!E:E,ROW()-1),"")</f>
        <v/>
      </c>
      <c r="C13">
        <f>IFERROR(VLOOKUP(INDEX(Action_Register!F:F,ROW()-1),Action_Templates!A:H,8,FALSE),"")</f>
        <v/>
      </c>
      <c r="D13">
        <f>IFERROR(INDEX(Action_Register!AB:AB,ROW()-1),"")</f>
        <v/>
      </c>
      <c r="E13">
        <f>IFERROR(INDEX(Action_Register!J:J,ROW()-1),"")</f>
        <v/>
      </c>
      <c r="F13">
        <f>IFERROR(INDEX(Action_Register!L:L,ROW()-1),"")</f>
        <v/>
      </c>
      <c r="G13">
        <f>IFERROR(INDEX(Action_Register!N:N,ROW()-1),"")</f>
        <v/>
      </c>
      <c r="H13">
        <f>IFERROR(INDEX(Action_Register!O:O,ROW()-1),"")</f>
        <v/>
      </c>
      <c r="I13">
        <f>IFERROR(INDEX(Action_Register!K:K,ROW()-1),"")</f>
        <v/>
      </c>
    </row>
    <row r="14">
      <c r="A14">
        <f>IFERROR(INDEX(Action_Register!A:A,ROW()-1),"")</f>
        <v/>
      </c>
      <c r="B14">
        <f>IFERROR(INDEX(Action_Register!E:E,ROW()-1),"")</f>
        <v/>
      </c>
      <c r="C14">
        <f>IFERROR(VLOOKUP(INDEX(Action_Register!F:F,ROW()-1),Action_Templates!A:H,8,FALSE),"")</f>
        <v/>
      </c>
      <c r="D14">
        <f>IFERROR(INDEX(Action_Register!AB:AB,ROW()-1),"")</f>
        <v/>
      </c>
      <c r="E14">
        <f>IFERROR(INDEX(Action_Register!J:J,ROW()-1),"")</f>
        <v/>
      </c>
      <c r="F14">
        <f>IFERROR(INDEX(Action_Register!L:L,ROW()-1),"")</f>
        <v/>
      </c>
      <c r="G14">
        <f>IFERROR(INDEX(Action_Register!N:N,ROW()-1),"")</f>
        <v/>
      </c>
      <c r="H14">
        <f>IFERROR(INDEX(Action_Register!O:O,ROW()-1),"")</f>
        <v/>
      </c>
      <c r="I14">
        <f>IFERROR(INDEX(Action_Register!K:K,ROW()-1),"")</f>
        <v/>
      </c>
    </row>
    <row r="15">
      <c r="A15">
        <f>IFERROR(INDEX(Action_Register!A:A,ROW()-1),"")</f>
        <v/>
      </c>
      <c r="B15">
        <f>IFERROR(INDEX(Action_Register!E:E,ROW()-1),"")</f>
        <v/>
      </c>
      <c r="C15">
        <f>IFERROR(VLOOKUP(INDEX(Action_Register!F:F,ROW()-1),Action_Templates!A:H,8,FALSE),"")</f>
        <v/>
      </c>
      <c r="D15">
        <f>IFERROR(INDEX(Action_Register!AB:AB,ROW()-1),"")</f>
        <v/>
      </c>
      <c r="E15">
        <f>IFERROR(INDEX(Action_Register!J:J,ROW()-1),"")</f>
        <v/>
      </c>
      <c r="F15">
        <f>IFERROR(INDEX(Action_Register!L:L,ROW()-1),"")</f>
        <v/>
      </c>
      <c r="G15">
        <f>IFERROR(INDEX(Action_Register!N:N,ROW()-1),"")</f>
        <v/>
      </c>
      <c r="H15">
        <f>IFERROR(INDEX(Action_Register!O:O,ROW()-1),"")</f>
        <v/>
      </c>
      <c r="I15">
        <f>IFERROR(INDEX(Action_Register!K:K,ROW()-1),"")</f>
        <v/>
      </c>
    </row>
    <row r="16">
      <c r="A16">
        <f>IFERROR(INDEX(Action_Register!A:A,ROW()-1),"")</f>
        <v/>
      </c>
      <c r="B16">
        <f>IFERROR(INDEX(Action_Register!E:E,ROW()-1),"")</f>
        <v/>
      </c>
      <c r="C16">
        <f>IFERROR(VLOOKUP(INDEX(Action_Register!F:F,ROW()-1),Action_Templates!A:H,8,FALSE),"")</f>
        <v/>
      </c>
      <c r="D16">
        <f>IFERROR(INDEX(Action_Register!AB:AB,ROW()-1),"")</f>
        <v/>
      </c>
      <c r="E16">
        <f>IFERROR(INDEX(Action_Register!J:J,ROW()-1),"")</f>
        <v/>
      </c>
      <c r="F16">
        <f>IFERROR(INDEX(Action_Register!L:L,ROW()-1),"")</f>
        <v/>
      </c>
      <c r="G16">
        <f>IFERROR(INDEX(Action_Register!N:N,ROW()-1),"")</f>
        <v/>
      </c>
      <c r="H16">
        <f>IFERROR(INDEX(Action_Register!O:O,ROW()-1),"")</f>
        <v/>
      </c>
      <c r="I16">
        <f>IFERROR(INDEX(Action_Register!K:K,ROW()-1),"")</f>
        <v/>
      </c>
    </row>
    <row r="17">
      <c r="A17">
        <f>IFERROR(INDEX(Action_Register!A:A,ROW()-1),"")</f>
        <v/>
      </c>
      <c r="B17">
        <f>IFERROR(INDEX(Action_Register!E:E,ROW()-1),"")</f>
        <v/>
      </c>
      <c r="C17">
        <f>IFERROR(VLOOKUP(INDEX(Action_Register!F:F,ROW()-1),Action_Templates!A:H,8,FALSE),"")</f>
        <v/>
      </c>
      <c r="D17">
        <f>IFERROR(INDEX(Action_Register!AB:AB,ROW()-1),"")</f>
        <v/>
      </c>
      <c r="E17">
        <f>IFERROR(INDEX(Action_Register!J:J,ROW()-1),"")</f>
        <v/>
      </c>
      <c r="F17">
        <f>IFERROR(INDEX(Action_Register!L:L,ROW()-1),"")</f>
        <v/>
      </c>
      <c r="G17">
        <f>IFERROR(INDEX(Action_Register!N:N,ROW()-1),"")</f>
        <v/>
      </c>
      <c r="H17">
        <f>IFERROR(INDEX(Action_Register!O:O,ROW()-1),"")</f>
        <v/>
      </c>
      <c r="I17">
        <f>IFERROR(INDEX(Action_Register!K:K,ROW()-1),"")</f>
        <v/>
      </c>
    </row>
    <row r="18">
      <c r="A18">
        <f>IFERROR(INDEX(Action_Register!A:A,ROW()-1),"")</f>
        <v/>
      </c>
      <c r="B18">
        <f>IFERROR(INDEX(Action_Register!E:E,ROW()-1),"")</f>
        <v/>
      </c>
      <c r="C18">
        <f>IFERROR(VLOOKUP(INDEX(Action_Register!F:F,ROW()-1),Action_Templates!A:H,8,FALSE),"")</f>
        <v/>
      </c>
      <c r="D18">
        <f>IFERROR(INDEX(Action_Register!AB:AB,ROW()-1),"")</f>
        <v/>
      </c>
      <c r="E18">
        <f>IFERROR(INDEX(Action_Register!J:J,ROW()-1),"")</f>
        <v/>
      </c>
      <c r="F18">
        <f>IFERROR(INDEX(Action_Register!L:L,ROW()-1),"")</f>
        <v/>
      </c>
      <c r="G18">
        <f>IFERROR(INDEX(Action_Register!N:N,ROW()-1),"")</f>
        <v/>
      </c>
      <c r="H18">
        <f>IFERROR(INDEX(Action_Register!O:O,ROW()-1),"")</f>
        <v/>
      </c>
      <c r="I18">
        <f>IFERROR(INDEX(Action_Register!K:K,ROW()-1),"")</f>
        <v/>
      </c>
    </row>
    <row r="19">
      <c r="A19">
        <f>IFERROR(INDEX(Action_Register!A:A,ROW()-1),"")</f>
        <v/>
      </c>
      <c r="B19">
        <f>IFERROR(INDEX(Action_Register!E:E,ROW()-1),"")</f>
        <v/>
      </c>
      <c r="C19">
        <f>IFERROR(VLOOKUP(INDEX(Action_Register!F:F,ROW()-1),Action_Templates!A:H,8,FALSE),"")</f>
        <v/>
      </c>
      <c r="D19">
        <f>IFERROR(INDEX(Action_Register!AB:AB,ROW()-1),"")</f>
        <v/>
      </c>
      <c r="E19">
        <f>IFERROR(INDEX(Action_Register!J:J,ROW()-1),"")</f>
        <v/>
      </c>
      <c r="F19">
        <f>IFERROR(INDEX(Action_Register!L:L,ROW()-1),"")</f>
        <v/>
      </c>
      <c r="G19">
        <f>IFERROR(INDEX(Action_Register!N:N,ROW()-1),"")</f>
        <v/>
      </c>
      <c r="H19">
        <f>IFERROR(INDEX(Action_Register!O:O,ROW()-1),"")</f>
        <v/>
      </c>
      <c r="I19">
        <f>IFERROR(INDEX(Action_Register!K:K,ROW()-1),"")</f>
        <v/>
      </c>
    </row>
    <row r="20">
      <c r="A20">
        <f>IFERROR(INDEX(Action_Register!A:A,ROW()-1),"")</f>
        <v/>
      </c>
      <c r="B20">
        <f>IFERROR(INDEX(Action_Register!E:E,ROW()-1),"")</f>
        <v/>
      </c>
      <c r="C20">
        <f>IFERROR(VLOOKUP(INDEX(Action_Register!F:F,ROW()-1),Action_Templates!A:H,8,FALSE),"")</f>
        <v/>
      </c>
      <c r="D20">
        <f>IFERROR(INDEX(Action_Register!AB:AB,ROW()-1),"")</f>
        <v/>
      </c>
      <c r="E20">
        <f>IFERROR(INDEX(Action_Register!J:J,ROW()-1),"")</f>
        <v/>
      </c>
      <c r="F20">
        <f>IFERROR(INDEX(Action_Register!L:L,ROW()-1),"")</f>
        <v/>
      </c>
      <c r="G20">
        <f>IFERROR(INDEX(Action_Register!N:N,ROW()-1),"")</f>
        <v/>
      </c>
      <c r="H20">
        <f>IFERROR(INDEX(Action_Register!O:O,ROW()-1),"")</f>
        <v/>
      </c>
      <c r="I20">
        <f>IFERROR(INDEX(Action_Register!K:K,ROW()-1),"")</f>
        <v/>
      </c>
    </row>
    <row r="21">
      <c r="A21">
        <f>IFERROR(INDEX(Action_Register!A:A,ROW()-1),"")</f>
        <v/>
      </c>
      <c r="B21">
        <f>IFERROR(INDEX(Action_Register!E:E,ROW()-1),"")</f>
        <v/>
      </c>
      <c r="C21">
        <f>IFERROR(VLOOKUP(INDEX(Action_Register!F:F,ROW()-1),Action_Templates!A:H,8,FALSE),"")</f>
        <v/>
      </c>
      <c r="D21">
        <f>IFERROR(INDEX(Action_Register!AB:AB,ROW()-1),"")</f>
        <v/>
      </c>
      <c r="E21">
        <f>IFERROR(INDEX(Action_Register!J:J,ROW()-1),"")</f>
        <v/>
      </c>
      <c r="F21">
        <f>IFERROR(INDEX(Action_Register!L:L,ROW()-1),"")</f>
        <v/>
      </c>
      <c r="G21">
        <f>IFERROR(INDEX(Action_Register!N:N,ROW()-1),"")</f>
        <v/>
      </c>
      <c r="H21">
        <f>IFERROR(INDEX(Action_Register!O:O,ROW()-1),"")</f>
        <v/>
      </c>
      <c r="I21">
        <f>IFERROR(INDEX(Action_Register!K:K,ROW()-1),"")</f>
        <v/>
      </c>
    </row>
    <row r="22">
      <c r="A22">
        <f>IFERROR(INDEX(Action_Register!A:A,ROW()-1),"")</f>
        <v/>
      </c>
      <c r="B22">
        <f>IFERROR(INDEX(Action_Register!E:E,ROW()-1),"")</f>
        <v/>
      </c>
      <c r="C22">
        <f>IFERROR(VLOOKUP(INDEX(Action_Register!F:F,ROW()-1),Action_Templates!A:H,8,FALSE),"")</f>
        <v/>
      </c>
      <c r="D22">
        <f>IFERROR(INDEX(Action_Register!AB:AB,ROW()-1),"")</f>
        <v/>
      </c>
      <c r="E22">
        <f>IFERROR(INDEX(Action_Register!J:J,ROW()-1),"")</f>
        <v/>
      </c>
      <c r="F22">
        <f>IFERROR(INDEX(Action_Register!L:L,ROW()-1),"")</f>
        <v/>
      </c>
      <c r="G22">
        <f>IFERROR(INDEX(Action_Register!N:N,ROW()-1),"")</f>
        <v/>
      </c>
      <c r="H22">
        <f>IFERROR(INDEX(Action_Register!O:O,ROW()-1),"")</f>
        <v/>
      </c>
      <c r="I22">
        <f>IFERROR(INDEX(Action_Register!K:K,ROW()-1),"")</f>
        <v/>
      </c>
    </row>
    <row r="23">
      <c r="A23">
        <f>IFERROR(INDEX(Action_Register!A:A,ROW()-1),"")</f>
        <v/>
      </c>
      <c r="B23">
        <f>IFERROR(INDEX(Action_Register!E:E,ROW()-1),"")</f>
        <v/>
      </c>
      <c r="C23">
        <f>IFERROR(VLOOKUP(INDEX(Action_Register!F:F,ROW()-1),Action_Templates!A:H,8,FALSE),"")</f>
        <v/>
      </c>
      <c r="D23">
        <f>IFERROR(INDEX(Action_Register!AB:AB,ROW()-1),"")</f>
        <v/>
      </c>
      <c r="E23">
        <f>IFERROR(INDEX(Action_Register!J:J,ROW()-1),"")</f>
        <v/>
      </c>
      <c r="F23">
        <f>IFERROR(INDEX(Action_Register!L:L,ROW()-1),"")</f>
        <v/>
      </c>
      <c r="G23">
        <f>IFERROR(INDEX(Action_Register!N:N,ROW()-1),"")</f>
        <v/>
      </c>
      <c r="H23">
        <f>IFERROR(INDEX(Action_Register!O:O,ROW()-1),"")</f>
        <v/>
      </c>
      <c r="I23">
        <f>IFERROR(INDEX(Action_Register!K:K,ROW()-1),"")</f>
        <v/>
      </c>
    </row>
    <row r="24">
      <c r="A24">
        <f>IFERROR(INDEX(Action_Register!A:A,ROW()-1),"")</f>
        <v/>
      </c>
      <c r="B24">
        <f>IFERROR(INDEX(Action_Register!E:E,ROW()-1),"")</f>
        <v/>
      </c>
      <c r="C24">
        <f>IFERROR(VLOOKUP(INDEX(Action_Register!F:F,ROW()-1),Action_Templates!A:H,8,FALSE),"")</f>
        <v/>
      </c>
      <c r="D24">
        <f>IFERROR(INDEX(Action_Register!AB:AB,ROW()-1),"")</f>
        <v/>
      </c>
      <c r="E24">
        <f>IFERROR(INDEX(Action_Register!J:J,ROW()-1),"")</f>
        <v/>
      </c>
      <c r="F24">
        <f>IFERROR(INDEX(Action_Register!L:L,ROW()-1),"")</f>
        <v/>
      </c>
      <c r="G24">
        <f>IFERROR(INDEX(Action_Register!N:N,ROW()-1),"")</f>
        <v/>
      </c>
      <c r="H24">
        <f>IFERROR(INDEX(Action_Register!O:O,ROW()-1),"")</f>
        <v/>
      </c>
      <c r="I24">
        <f>IFERROR(INDEX(Action_Register!K:K,ROW()-1),"")</f>
        <v/>
      </c>
    </row>
    <row r="25">
      <c r="A25">
        <f>IFERROR(INDEX(Action_Register!A:A,ROW()-1),"")</f>
        <v/>
      </c>
      <c r="B25">
        <f>IFERROR(INDEX(Action_Register!E:E,ROW()-1),"")</f>
        <v/>
      </c>
      <c r="C25">
        <f>IFERROR(VLOOKUP(INDEX(Action_Register!F:F,ROW()-1),Action_Templates!A:H,8,FALSE),"")</f>
        <v/>
      </c>
      <c r="D25">
        <f>IFERROR(INDEX(Action_Register!AB:AB,ROW()-1),"")</f>
        <v/>
      </c>
      <c r="E25">
        <f>IFERROR(INDEX(Action_Register!J:J,ROW()-1),"")</f>
        <v/>
      </c>
      <c r="F25">
        <f>IFERROR(INDEX(Action_Register!L:L,ROW()-1),"")</f>
        <v/>
      </c>
      <c r="G25">
        <f>IFERROR(INDEX(Action_Register!N:N,ROW()-1),"")</f>
        <v/>
      </c>
      <c r="H25">
        <f>IFERROR(INDEX(Action_Register!O:O,ROW()-1),"")</f>
        <v/>
      </c>
      <c r="I25">
        <f>IFERROR(INDEX(Action_Register!K:K,ROW()-1),"")</f>
        <v/>
      </c>
    </row>
    <row r="26">
      <c r="A26">
        <f>IFERROR(INDEX(Action_Register!A:A,ROW()-1),"")</f>
        <v/>
      </c>
      <c r="B26">
        <f>IFERROR(INDEX(Action_Register!E:E,ROW()-1),"")</f>
        <v/>
      </c>
      <c r="C26">
        <f>IFERROR(VLOOKUP(INDEX(Action_Register!F:F,ROW()-1),Action_Templates!A:H,8,FALSE),"")</f>
        <v/>
      </c>
      <c r="D26">
        <f>IFERROR(INDEX(Action_Register!AB:AB,ROW()-1),"")</f>
        <v/>
      </c>
      <c r="E26">
        <f>IFERROR(INDEX(Action_Register!J:J,ROW()-1),"")</f>
        <v/>
      </c>
      <c r="F26">
        <f>IFERROR(INDEX(Action_Register!L:L,ROW()-1),"")</f>
        <v/>
      </c>
      <c r="G26">
        <f>IFERROR(INDEX(Action_Register!N:N,ROW()-1),"")</f>
        <v/>
      </c>
      <c r="H26">
        <f>IFERROR(INDEX(Action_Register!O:O,ROW()-1),"")</f>
        <v/>
      </c>
      <c r="I26">
        <f>IFERROR(INDEX(Action_Register!K:K,ROW()-1),"")</f>
        <v/>
      </c>
    </row>
    <row r="27">
      <c r="A27">
        <f>IFERROR(INDEX(Action_Register!A:A,ROW()-1),"")</f>
        <v/>
      </c>
      <c r="B27">
        <f>IFERROR(INDEX(Action_Register!E:E,ROW()-1),"")</f>
        <v/>
      </c>
      <c r="C27">
        <f>IFERROR(VLOOKUP(INDEX(Action_Register!F:F,ROW()-1),Action_Templates!A:H,8,FALSE),"")</f>
        <v/>
      </c>
      <c r="D27">
        <f>IFERROR(INDEX(Action_Register!AB:AB,ROW()-1),"")</f>
        <v/>
      </c>
      <c r="E27">
        <f>IFERROR(INDEX(Action_Register!J:J,ROW()-1),"")</f>
        <v/>
      </c>
      <c r="F27">
        <f>IFERROR(INDEX(Action_Register!L:L,ROW()-1),"")</f>
        <v/>
      </c>
      <c r="G27">
        <f>IFERROR(INDEX(Action_Register!N:N,ROW()-1),"")</f>
        <v/>
      </c>
      <c r="H27">
        <f>IFERROR(INDEX(Action_Register!O:O,ROW()-1),"")</f>
        <v/>
      </c>
      <c r="I27">
        <f>IFERROR(INDEX(Action_Register!K:K,ROW()-1),"")</f>
        <v/>
      </c>
    </row>
    <row r="28">
      <c r="A28">
        <f>IFERROR(INDEX(Action_Register!A:A,ROW()-1),"")</f>
        <v/>
      </c>
      <c r="B28">
        <f>IFERROR(INDEX(Action_Register!E:E,ROW()-1),"")</f>
        <v/>
      </c>
      <c r="C28">
        <f>IFERROR(VLOOKUP(INDEX(Action_Register!F:F,ROW()-1),Action_Templates!A:H,8,FALSE),"")</f>
        <v/>
      </c>
      <c r="D28">
        <f>IFERROR(INDEX(Action_Register!AB:AB,ROW()-1),"")</f>
        <v/>
      </c>
      <c r="E28">
        <f>IFERROR(INDEX(Action_Register!J:J,ROW()-1),"")</f>
        <v/>
      </c>
      <c r="F28">
        <f>IFERROR(INDEX(Action_Register!L:L,ROW()-1),"")</f>
        <v/>
      </c>
      <c r="G28">
        <f>IFERROR(INDEX(Action_Register!N:N,ROW()-1),"")</f>
        <v/>
      </c>
      <c r="H28">
        <f>IFERROR(INDEX(Action_Register!O:O,ROW()-1),"")</f>
        <v/>
      </c>
      <c r="I28">
        <f>IFERROR(INDEX(Action_Register!K:K,ROW()-1),"")</f>
        <v/>
      </c>
    </row>
    <row r="29">
      <c r="A29">
        <f>IFERROR(INDEX(Action_Register!A:A,ROW()-1),"")</f>
        <v/>
      </c>
      <c r="B29">
        <f>IFERROR(INDEX(Action_Register!E:E,ROW()-1),"")</f>
        <v/>
      </c>
      <c r="C29">
        <f>IFERROR(VLOOKUP(INDEX(Action_Register!F:F,ROW()-1),Action_Templates!A:H,8,FALSE),"")</f>
        <v/>
      </c>
      <c r="D29">
        <f>IFERROR(INDEX(Action_Register!AB:AB,ROW()-1),"")</f>
        <v/>
      </c>
      <c r="E29">
        <f>IFERROR(INDEX(Action_Register!J:J,ROW()-1),"")</f>
        <v/>
      </c>
      <c r="F29">
        <f>IFERROR(INDEX(Action_Register!L:L,ROW()-1),"")</f>
        <v/>
      </c>
      <c r="G29">
        <f>IFERROR(INDEX(Action_Register!N:N,ROW()-1),"")</f>
        <v/>
      </c>
      <c r="H29">
        <f>IFERROR(INDEX(Action_Register!O:O,ROW()-1),"")</f>
        <v/>
      </c>
      <c r="I29">
        <f>IFERROR(INDEX(Action_Register!K:K,ROW()-1),"")</f>
        <v/>
      </c>
    </row>
    <row r="30">
      <c r="A30">
        <f>IFERROR(INDEX(Action_Register!A:A,ROW()-1),"")</f>
        <v/>
      </c>
      <c r="B30">
        <f>IFERROR(INDEX(Action_Register!E:E,ROW()-1),"")</f>
        <v/>
      </c>
      <c r="C30">
        <f>IFERROR(VLOOKUP(INDEX(Action_Register!F:F,ROW()-1),Action_Templates!A:H,8,FALSE),"")</f>
        <v/>
      </c>
      <c r="D30">
        <f>IFERROR(INDEX(Action_Register!AB:AB,ROW()-1),"")</f>
        <v/>
      </c>
      <c r="E30">
        <f>IFERROR(INDEX(Action_Register!J:J,ROW()-1),"")</f>
        <v/>
      </c>
      <c r="F30">
        <f>IFERROR(INDEX(Action_Register!L:L,ROW()-1),"")</f>
        <v/>
      </c>
      <c r="G30">
        <f>IFERROR(INDEX(Action_Register!N:N,ROW()-1),"")</f>
        <v/>
      </c>
      <c r="H30">
        <f>IFERROR(INDEX(Action_Register!O:O,ROW()-1),"")</f>
        <v/>
      </c>
      <c r="I30">
        <f>IFERROR(INDEX(Action_Register!K:K,ROW()-1),"")</f>
        <v/>
      </c>
    </row>
    <row r="31">
      <c r="A31">
        <f>IFERROR(INDEX(Action_Register!A:A,ROW()-1),"")</f>
        <v/>
      </c>
      <c r="B31">
        <f>IFERROR(INDEX(Action_Register!E:E,ROW()-1),"")</f>
        <v/>
      </c>
      <c r="C31">
        <f>IFERROR(VLOOKUP(INDEX(Action_Register!F:F,ROW()-1),Action_Templates!A:H,8,FALSE),"")</f>
        <v/>
      </c>
      <c r="D31">
        <f>IFERROR(INDEX(Action_Register!AB:AB,ROW()-1),"")</f>
        <v/>
      </c>
      <c r="E31">
        <f>IFERROR(INDEX(Action_Register!J:J,ROW()-1),"")</f>
        <v/>
      </c>
      <c r="F31">
        <f>IFERROR(INDEX(Action_Register!L:L,ROW()-1),"")</f>
        <v/>
      </c>
      <c r="G31">
        <f>IFERROR(INDEX(Action_Register!N:N,ROW()-1),"")</f>
        <v/>
      </c>
      <c r="H31">
        <f>IFERROR(INDEX(Action_Register!O:O,ROW()-1),"")</f>
        <v/>
      </c>
      <c r="I31">
        <f>IFERROR(INDEX(Action_Register!K:K,ROW()-1),"")</f>
        <v/>
      </c>
    </row>
    <row r="32">
      <c r="A32">
        <f>IFERROR(INDEX(Action_Register!A:A,ROW()-1),"")</f>
        <v/>
      </c>
      <c r="B32">
        <f>IFERROR(INDEX(Action_Register!E:E,ROW()-1),"")</f>
        <v/>
      </c>
      <c r="C32">
        <f>IFERROR(VLOOKUP(INDEX(Action_Register!F:F,ROW()-1),Action_Templates!A:H,8,FALSE),"")</f>
        <v/>
      </c>
      <c r="D32">
        <f>IFERROR(INDEX(Action_Register!AB:AB,ROW()-1),"")</f>
        <v/>
      </c>
      <c r="E32">
        <f>IFERROR(INDEX(Action_Register!J:J,ROW()-1),"")</f>
        <v/>
      </c>
      <c r="F32">
        <f>IFERROR(INDEX(Action_Register!L:L,ROW()-1),"")</f>
        <v/>
      </c>
      <c r="G32">
        <f>IFERROR(INDEX(Action_Register!N:N,ROW()-1),"")</f>
        <v/>
      </c>
      <c r="H32">
        <f>IFERROR(INDEX(Action_Register!O:O,ROW()-1),"")</f>
        <v/>
      </c>
      <c r="I32">
        <f>IFERROR(INDEX(Action_Register!K:K,ROW()-1),"")</f>
        <v/>
      </c>
    </row>
    <row r="33">
      <c r="A33">
        <f>IFERROR(INDEX(Action_Register!A:A,ROW()-1),"")</f>
        <v/>
      </c>
      <c r="B33">
        <f>IFERROR(INDEX(Action_Register!E:E,ROW()-1),"")</f>
        <v/>
      </c>
      <c r="C33">
        <f>IFERROR(VLOOKUP(INDEX(Action_Register!F:F,ROW()-1),Action_Templates!A:H,8,FALSE),"")</f>
        <v/>
      </c>
      <c r="D33">
        <f>IFERROR(INDEX(Action_Register!AB:AB,ROW()-1),"")</f>
        <v/>
      </c>
      <c r="E33">
        <f>IFERROR(INDEX(Action_Register!J:J,ROW()-1),"")</f>
        <v/>
      </c>
      <c r="F33">
        <f>IFERROR(INDEX(Action_Register!L:L,ROW()-1),"")</f>
        <v/>
      </c>
      <c r="G33">
        <f>IFERROR(INDEX(Action_Register!N:N,ROW()-1),"")</f>
        <v/>
      </c>
      <c r="H33">
        <f>IFERROR(INDEX(Action_Register!O:O,ROW()-1),"")</f>
        <v/>
      </c>
      <c r="I33">
        <f>IFERROR(INDEX(Action_Register!K:K,ROW()-1),"")</f>
        <v/>
      </c>
    </row>
    <row r="34">
      <c r="A34">
        <f>IFERROR(INDEX(Action_Register!A:A,ROW()-1),"")</f>
        <v/>
      </c>
      <c r="B34">
        <f>IFERROR(INDEX(Action_Register!E:E,ROW()-1),"")</f>
        <v/>
      </c>
      <c r="C34">
        <f>IFERROR(VLOOKUP(INDEX(Action_Register!F:F,ROW()-1),Action_Templates!A:H,8,FALSE),"")</f>
        <v/>
      </c>
      <c r="D34">
        <f>IFERROR(INDEX(Action_Register!AB:AB,ROW()-1),"")</f>
        <v/>
      </c>
      <c r="E34">
        <f>IFERROR(INDEX(Action_Register!J:J,ROW()-1),"")</f>
        <v/>
      </c>
      <c r="F34">
        <f>IFERROR(INDEX(Action_Register!L:L,ROW()-1),"")</f>
        <v/>
      </c>
      <c r="G34">
        <f>IFERROR(INDEX(Action_Register!N:N,ROW()-1),"")</f>
        <v/>
      </c>
      <c r="H34">
        <f>IFERROR(INDEX(Action_Register!O:O,ROW()-1),"")</f>
        <v/>
      </c>
      <c r="I34">
        <f>IFERROR(INDEX(Action_Register!K:K,ROW()-1),"")</f>
        <v/>
      </c>
    </row>
    <row r="35">
      <c r="A35">
        <f>IFERROR(INDEX(Action_Register!A:A,ROW()-1),"")</f>
        <v/>
      </c>
      <c r="B35">
        <f>IFERROR(INDEX(Action_Register!E:E,ROW()-1),"")</f>
        <v/>
      </c>
      <c r="C35">
        <f>IFERROR(VLOOKUP(INDEX(Action_Register!F:F,ROW()-1),Action_Templates!A:H,8,FALSE),"")</f>
        <v/>
      </c>
      <c r="D35">
        <f>IFERROR(INDEX(Action_Register!AB:AB,ROW()-1),"")</f>
        <v/>
      </c>
      <c r="E35">
        <f>IFERROR(INDEX(Action_Register!J:J,ROW()-1),"")</f>
        <v/>
      </c>
      <c r="F35">
        <f>IFERROR(INDEX(Action_Register!L:L,ROW()-1),"")</f>
        <v/>
      </c>
      <c r="G35">
        <f>IFERROR(INDEX(Action_Register!N:N,ROW()-1),"")</f>
        <v/>
      </c>
      <c r="H35">
        <f>IFERROR(INDEX(Action_Register!O:O,ROW()-1),"")</f>
        <v/>
      </c>
      <c r="I35">
        <f>IFERROR(INDEX(Action_Register!K:K,ROW()-1),"")</f>
        <v/>
      </c>
    </row>
    <row r="36">
      <c r="A36">
        <f>IFERROR(INDEX(Action_Register!A:A,ROW()-1),"")</f>
        <v/>
      </c>
      <c r="B36">
        <f>IFERROR(INDEX(Action_Register!E:E,ROW()-1),"")</f>
        <v/>
      </c>
      <c r="C36">
        <f>IFERROR(VLOOKUP(INDEX(Action_Register!F:F,ROW()-1),Action_Templates!A:H,8,FALSE),"")</f>
        <v/>
      </c>
      <c r="D36">
        <f>IFERROR(INDEX(Action_Register!AB:AB,ROW()-1),"")</f>
        <v/>
      </c>
      <c r="E36">
        <f>IFERROR(INDEX(Action_Register!J:J,ROW()-1),"")</f>
        <v/>
      </c>
      <c r="F36">
        <f>IFERROR(INDEX(Action_Register!L:L,ROW()-1),"")</f>
        <v/>
      </c>
      <c r="G36">
        <f>IFERROR(INDEX(Action_Register!N:N,ROW()-1),"")</f>
        <v/>
      </c>
      <c r="H36">
        <f>IFERROR(INDEX(Action_Register!O:O,ROW()-1),"")</f>
        <v/>
      </c>
      <c r="I36">
        <f>IFERROR(INDEX(Action_Register!K:K,ROW()-1),"")</f>
        <v/>
      </c>
    </row>
    <row r="37">
      <c r="A37">
        <f>IFERROR(INDEX(Action_Register!A:A,ROW()-1),"")</f>
        <v/>
      </c>
      <c r="B37">
        <f>IFERROR(INDEX(Action_Register!E:E,ROW()-1),"")</f>
        <v/>
      </c>
      <c r="C37">
        <f>IFERROR(VLOOKUP(INDEX(Action_Register!F:F,ROW()-1),Action_Templates!A:H,8,FALSE),"")</f>
        <v/>
      </c>
      <c r="D37">
        <f>IFERROR(INDEX(Action_Register!AB:AB,ROW()-1),"")</f>
        <v/>
      </c>
      <c r="E37">
        <f>IFERROR(INDEX(Action_Register!J:J,ROW()-1),"")</f>
        <v/>
      </c>
      <c r="F37">
        <f>IFERROR(INDEX(Action_Register!L:L,ROW()-1),"")</f>
        <v/>
      </c>
      <c r="G37">
        <f>IFERROR(INDEX(Action_Register!N:N,ROW()-1),"")</f>
        <v/>
      </c>
      <c r="H37">
        <f>IFERROR(INDEX(Action_Register!O:O,ROW()-1),"")</f>
        <v/>
      </c>
      <c r="I37">
        <f>IFERROR(INDEX(Action_Register!K:K,ROW()-1),"")</f>
        <v/>
      </c>
    </row>
    <row r="38">
      <c r="A38">
        <f>IFERROR(INDEX(Action_Register!A:A,ROW()-1),"")</f>
        <v/>
      </c>
      <c r="B38">
        <f>IFERROR(INDEX(Action_Register!E:E,ROW()-1),"")</f>
        <v/>
      </c>
      <c r="C38">
        <f>IFERROR(VLOOKUP(INDEX(Action_Register!F:F,ROW()-1),Action_Templates!A:H,8,FALSE),"")</f>
        <v/>
      </c>
      <c r="D38">
        <f>IFERROR(INDEX(Action_Register!AB:AB,ROW()-1),"")</f>
        <v/>
      </c>
      <c r="E38">
        <f>IFERROR(INDEX(Action_Register!J:J,ROW()-1),"")</f>
        <v/>
      </c>
      <c r="F38">
        <f>IFERROR(INDEX(Action_Register!L:L,ROW()-1),"")</f>
        <v/>
      </c>
      <c r="G38">
        <f>IFERROR(INDEX(Action_Register!N:N,ROW()-1),"")</f>
        <v/>
      </c>
      <c r="H38">
        <f>IFERROR(INDEX(Action_Register!O:O,ROW()-1),"")</f>
        <v/>
      </c>
      <c r="I38">
        <f>IFERROR(INDEX(Action_Register!K:K,ROW()-1),"")</f>
        <v/>
      </c>
    </row>
    <row r="39">
      <c r="A39">
        <f>IFERROR(INDEX(Action_Register!A:A,ROW()-1),"")</f>
        <v/>
      </c>
      <c r="B39">
        <f>IFERROR(INDEX(Action_Register!E:E,ROW()-1),"")</f>
        <v/>
      </c>
      <c r="C39">
        <f>IFERROR(VLOOKUP(INDEX(Action_Register!F:F,ROW()-1),Action_Templates!A:H,8,FALSE),"")</f>
        <v/>
      </c>
      <c r="D39">
        <f>IFERROR(INDEX(Action_Register!AB:AB,ROW()-1),"")</f>
        <v/>
      </c>
      <c r="E39">
        <f>IFERROR(INDEX(Action_Register!J:J,ROW()-1),"")</f>
        <v/>
      </c>
      <c r="F39">
        <f>IFERROR(INDEX(Action_Register!L:L,ROW()-1),"")</f>
        <v/>
      </c>
      <c r="G39">
        <f>IFERROR(INDEX(Action_Register!N:N,ROW()-1),"")</f>
        <v/>
      </c>
      <c r="H39">
        <f>IFERROR(INDEX(Action_Register!O:O,ROW()-1),"")</f>
        <v/>
      </c>
      <c r="I39">
        <f>IFERROR(INDEX(Action_Register!K:K,ROW()-1),"")</f>
        <v/>
      </c>
    </row>
    <row r="40">
      <c r="A40">
        <f>IFERROR(INDEX(Action_Register!A:A,ROW()-1),"")</f>
        <v/>
      </c>
      <c r="B40">
        <f>IFERROR(INDEX(Action_Register!E:E,ROW()-1),"")</f>
        <v/>
      </c>
      <c r="C40">
        <f>IFERROR(VLOOKUP(INDEX(Action_Register!F:F,ROW()-1),Action_Templates!A:H,8,FALSE),"")</f>
        <v/>
      </c>
      <c r="D40">
        <f>IFERROR(INDEX(Action_Register!AB:AB,ROW()-1),"")</f>
        <v/>
      </c>
      <c r="E40">
        <f>IFERROR(INDEX(Action_Register!J:J,ROW()-1),"")</f>
        <v/>
      </c>
      <c r="F40">
        <f>IFERROR(INDEX(Action_Register!L:L,ROW()-1),"")</f>
        <v/>
      </c>
      <c r="G40">
        <f>IFERROR(INDEX(Action_Register!N:N,ROW()-1),"")</f>
        <v/>
      </c>
      <c r="H40">
        <f>IFERROR(INDEX(Action_Register!O:O,ROW()-1),"")</f>
        <v/>
      </c>
      <c r="I40">
        <f>IFERROR(INDEX(Action_Register!K:K,ROW()-1),"")</f>
        <v/>
      </c>
    </row>
    <row r="41">
      <c r="A41">
        <f>IFERROR(INDEX(Action_Register!A:A,ROW()-1),"")</f>
        <v/>
      </c>
      <c r="B41">
        <f>IFERROR(INDEX(Action_Register!E:E,ROW()-1),"")</f>
        <v/>
      </c>
      <c r="C41">
        <f>IFERROR(VLOOKUP(INDEX(Action_Register!F:F,ROW()-1),Action_Templates!A:H,8,FALSE),"")</f>
        <v/>
      </c>
      <c r="D41">
        <f>IFERROR(INDEX(Action_Register!AB:AB,ROW()-1),"")</f>
        <v/>
      </c>
      <c r="E41">
        <f>IFERROR(INDEX(Action_Register!J:J,ROW()-1),"")</f>
        <v/>
      </c>
      <c r="F41">
        <f>IFERROR(INDEX(Action_Register!L:L,ROW()-1),"")</f>
        <v/>
      </c>
      <c r="G41">
        <f>IFERROR(INDEX(Action_Register!N:N,ROW()-1),"")</f>
        <v/>
      </c>
      <c r="H41">
        <f>IFERROR(INDEX(Action_Register!O:O,ROW()-1),"")</f>
        <v/>
      </c>
      <c r="I41">
        <f>IFERROR(INDEX(Action_Register!K:K,ROW()-1),"")</f>
        <v/>
      </c>
    </row>
    <row r="42">
      <c r="A42">
        <f>IFERROR(INDEX(Action_Register!A:A,ROW()-1),"")</f>
        <v/>
      </c>
      <c r="B42">
        <f>IFERROR(INDEX(Action_Register!E:E,ROW()-1),"")</f>
        <v/>
      </c>
      <c r="C42">
        <f>IFERROR(VLOOKUP(INDEX(Action_Register!F:F,ROW()-1),Action_Templates!A:H,8,FALSE),"")</f>
        <v/>
      </c>
      <c r="D42">
        <f>IFERROR(INDEX(Action_Register!AB:AB,ROW()-1),"")</f>
        <v/>
      </c>
      <c r="E42">
        <f>IFERROR(INDEX(Action_Register!J:J,ROW()-1),"")</f>
        <v/>
      </c>
      <c r="F42">
        <f>IFERROR(INDEX(Action_Register!L:L,ROW()-1),"")</f>
        <v/>
      </c>
      <c r="G42">
        <f>IFERROR(INDEX(Action_Register!N:N,ROW()-1),"")</f>
        <v/>
      </c>
      <c r="H42">
        <f>IFERROR(INDEX(Action_Register!O:O,ROW()-1),"")</f>
        <v/>
      </c>
      <c r="I42">
        <f>IFERROR(INDEX(Action_Register!K:K,ROW()-1),"")</f>
        <v/>
      </c>
    </row>
    <row r="43">
      <c r="A43">
        <f>IFERROR(INDEX(Action_Register!A:A,ROW()-1),"")</f>
        <v/>
      </c>
      <c r="B43">
        <f>IFERROR(INDEX(Action_Register!E:E,ROW()-1),"")</f>
        <v/>
      </c>
      <c r="C43">
        <f>IFERROR(VLOOKUP(INDEX(Action_Register!F:F,ROW()-1),Action_Templates!A:H,8,FALSE),"")</f>
        <v/>
      </c>
      <c r="D43">
        <f>IFERROR(INDEX(Action_Register!AB:AB,ROW()-1),"")</f>
        <v/>
      </c>
      <c r="E43">
        <f>IFERROR(INDEX(Action_Register!J:J,ROW()-1),"")</f>
        <v/>
      </c>
      <c r="F43">
        <f>IFERROR(INDEX(Action_Register!L:L,ROW()-1),"")</f>
        <v/>
      </c>
      <c r="G43">
        <f>IFERROR(INDEX(Action_Register!N:N,ROW()-1),"")</f>
        <v/>
      </c>
      <c r="H43">
        <f>IFERROR(INDEX(Action_Register!O:O,ROW()-1),"")</f>
        <v/>
      </c>
      <c r="I43">
        <f>IFERROR(INDEX(Action_Register!K:K,ROW()-1),"")</f>
        <v/>
      </c>
    </row>
    <row r="44">
      <c r="A44">
        <f>IFERROR(INDEX(Action_Register!A:A,ROW()-1),"")</f>
        <v/>
      </c>
      <c r="B44">
        <f>IFERROR(INDEX(Action_Register!E:E,ROW()-1),"")</f>
        <v/>
      </c>
      <c r="C44">
        <f>IFERROR(VLOOKUP(INDEX(Action_Register!F:F,ROW()-1),Action_Templates!A:H,8,FALSE),"")</f>
        <v/>
      </c>
      <c r="D44">
        <f>IFERROR(INDEX(Action_Register!AB:AB,ROW()-1),"")</f>
        <v/>
      </c>
      <c r="E44">
        <f>IFERROR(INDEX(Action_Register!J:J,ROW()-1),"")</f>
        <v/>
      </c>
      <c r="F44">
        <f>IFERROR(INDEX(Action_Register!L:L,ROW()-1),"")</f>
        <v/>
      </c>
      <c r="G44">
        <f>IFERROR(INDEX(Action_Register!N:N,ROW()-1),"")</f>
        <v/>
      </c>
      <c r="H44">
        <f>IFERROR(INDEX(Action_Register!O:O,ROW()-1),"")</f>
        <v/>
      </c>
      <c r="I44">
        <f>IFERROR(INDEX(Action_Register!K:K,ROW()-1),"")</f>
        <v/>
      </c>
    </row>
    <row r="45">
      <c r="A45">
        <f>IFERROR(INDEX(Action_Register!A:A,ROW()-1),"")</f>
        <v/>
      </c>
      <c r="B45">
        <f>IFERROR(INDEX(Action_Register!E:E,ROW()-1),"")</f>
        <v/>
      </c>
      <c r="C45">
        <f>IFERROR(VLOOKUP(INDEX(Action_Register!F:F,ROW()-1),Action_Templates!A:H,8,FALSE),"")</f>
        <v/>
      </c>
      <c r="D45">
        <f>IFERROR(INDEX(Action_Register!AB:AB,ROW()-1),"")</f>
        <v/>
      </c>
      <c r="E45">
        <f>IFERROR(INDEX(Action_Register!J:J,ROW()-1),"")</f>
        <v/>
      </c>
      <c r="F45">
        <f>IFERROR(INDEX(Action_Register!L:L,ROW()-1),"")</f>
        <v/>
      </c>
      <c r="G45">
        <f>IFERROR(INDEX(Action_Register!N:N,ROW()-1),"")</f>
        <v/>
      </c>
      <c r="H45">
        <f>IFERROR(INDEX(Action_Register!O:O,ROW()-1),"")</f>
        <v/>
      </c>
      <c r="I45">
        <f>IFERROR(INDEX(Action_Register!K:K,ROW()-1),"")</f>
        <v/>
      </c>
    </row>
    <row r="46">
      <c r="A46">
        <f>IFERROR(INDEX(Action_Register!A:A,ROW()-1),"")</f>
        <v/>
      </c>
      <c r="B46">
        <f>IFERROR(INDEX(Action_Register!E:E,ROW()-1),"")</f>
        <v/>
      </c>
      <c r="C46">
        <f>IFERROR(VLOOKUP(INDEX(Action_Register!F:F,ROW()-1),Action_Templates!A:H,8,FALSE),"")</f>
        <v/>
      </c>
      <c r="D46">
        <f>IFERROR(INDEX(Action_Register!AB:AB,ROW()-1),"")</f>
        <v/>
      </c>
      <c r="E46">
        <f>IFERROR(INDEX(Action_Register!J:J,ROW()-1),"")</f>
        <v/>
      </c>
      <c r="F46">
        <f>IFERROR(INDEX(Action_Register!L:L,ROW()-1),"")</f>
        <v/>
      </c>
      <c r="G46">
        <f>IFERROR(INDEX(Action_Register!N:N,ROW()-1),"")</f>
        <v/>
      </c>
      <c r="H46">
        <f>IFERROR(INDEX(Action_Register!O:O,ROW()-1),"")</f>
        <v/>
      </c>
      <c r="I46">
        <f>IFERROR(INDEX(Action_Register!K:K,ROW()-1),"")</f>
        <v/>
      </c>
    </row>
    <row r="47">
      <c r="A47">
        <f>IFERROR(INDEX(Action_Register!A:A,ROW()-1),"")</f>
        <v/>
      </c>
      <c r="B47">
        <f>IFERROR(INDEX(Action_Register!E:E,ROW()-1),"")</f>
        <v/>
      </c>
      <c r="C47">
        <f>IFERROR(VLOOKUP(INDEX(Action_Register!F:F,ROW()-1),Action_Templates!A:H,8,FALSE),"")</f>
        <v/>
      </c>
      <c r="D47">
        <f>IFERROR(INDEX(Action_Register!AB:AB,ROW()-1),"")</f>
        <v/>
      </c>
      <c r="E47">
        <f>IFERROR(INDEX(Action_Register!J:J,ROW()-1),"")</f>
        <v/>
      </c>
      <c r="F47">
        <f>IFERROR(INDEX(Action_Register!L:L,ROW()-1),"")</f>
        <v/>
      </c>
      <c r="G47">
        <f>IFERROR(INDEX(Action_Register!N:N,ROW()-1),"")</f>
        <v/>
      </c>
      <c r="H47">
        <f>IFERROR(INDEX(Action_Register!O:O,ROW()-1),"")</f>
        <v/>
      </c>
      <c r="I47">
        <f>IFERROR(INDEX(Action_Register!K:K,ROW()-1),"")</f>
        <v/>
      </c>
    </row>
    <row r="48">
      <c r="A48">
        <f>IFERROR(INDEX(Action_Register!A:A,ROW()-1),"")</f>
        <v/>
      </c>
      <c r="B48">
        <f>IFERROR(INDEX(Action_Register!E:E,ROW()-1),"")</f>
        <v/>
      </c>
      <c r="C48">
        <f>IFERROR(VLOOKUP(INDEX(Action_Register!F:F,ROW()-1),Action_Templates!A:H,8,FALSE),"")</f>
        <v/>
      </c>
      <c r="D48">
        <f>IFERROR(INDEX(Action_Register!AB:AB,ROW()-1),"")</f>
        <v/>
      </c>
      <c r="E48">
        <f>IFERROR(INDEX(Action_Register!J:J,ROW()-1),"")</f>
        <v/>
      </c>
      <c r="F48">
        <f>IFERROR(INDEX(Action_Register!L:L,ROW()-1),"")</f>
        <v/>
      </c>
      <c r="G48">
        <f>IFERROR(INDEX(Action_Register!N:N,ROW()-1),"")</f>
        <v/>
      </c>
      <c r="H48">
        <f>IFERROR(INDEX(Action_Register!O:O,ROW()-1),"")</f>
        <v/>
      </c>
      <c r="I48">
        <f>IFERROR(INDEX(Action_Register!K:K,ROW()-1),"")</f>
        <v/>
      </c>
    </row>
    <row r="49">
      <c r="A49">
        <f>IFERROR(INDEX(Action_Register!A:A,ROW()-1),"")</f>
        <v/>
      </c>
      <c r="B49">
        <f>IFERROR(INDEX(Action_Register!E:E,ROW()-1),"")</f>
        <v/>
      </c>
      <c r="C49">
        <f>IFERROR(VLOOKUP(INDEX(Action_Register!F:F,ROW()-1),Action_Templates!A:H,8,FALSE),"")</f>
        <v/>
      </c>
      <c r="D49">
        <f>IFERROR(INDEX(Action_Register!AB:AB,ROW()-1),"")</f>
        <v/>
      </c>
      <c r="E49">
        <f>IFERROR(INDEX(Action_Register!J:J,ROW()-1),"")</f>
        <v/>
      </c>
      <c r="F49">
        <f>IFERROR(INDEX(Action_Register!L:L,ROW()-1),"")</f>
        <v/>
      </c>
      <c r="G49">
        <f>IFERROR(INDEX(Action_Register!N:N,ROW()-1),"")</f>
        <v/>
      </c>
      <c r="H49">
        <f>IFERROR(INDEX(Action_Register!O:O,ROW()-1),"")</f>
        <v/>
      </c>
      <c r="I49">
        <f>IFERROR(INDEX(Action_Register!K:K,ROW()-1),"")</f>
        <v/>
      </c>
    </row>
    <row r="50">
      <c r="A50">
        <f>IFERROR(INDEX(Action_Register!A:A,ROW()-1),"")</f>
        <v/>
      </c>
      <c r="B50">
        <f>IFERROR(INDEX(Action_Register!E:E,ROW()-1),"")</f>
        <v/>
      </c>
      <c r="C50">
        <f>IFERROR(VLOOKUP(INDEX(Action_Register!F:F,ROW()-1),Action_Templates!A:H,8,FALSE),"")</f>
        <v/>
      </c>
      <c r="D50">
        <f>IFERROR(INDEX(Action_Register!AB:AB,ROW()-1),"")</f>
        <v/>
      </c>
      <c r="E50">
        <f>IFERROR(INDEX(Action_Register!J:J,ROW()-1),"")</f>
        <v/>
      </c>
      <c r="F50">
        <f>IFERROR(INDEX(Action_Register!L:L,ROW()-1),"")</f>
        <v/>
      </c>
      <c r="G50">
        <f>IFERROR(INDEX(Action_Register!N:N,ROW()-1),"")</f>
        <v/>
      </c>
      <c r="H50">
        <f>IFERROR(INDEX(Action_Register!O:O,ROW()-1),"")</f>
        <v/>
      </c>
      <c r="I50">
        <f>IFERROR(INDEX(Action_Register!K:K,ROW()-1),"")</f>
        <v/>
      </c>
    </row>
    <row r="51">
      <c r="A51">
        <f>IFERROR(INDEX(Action_Register!A:A,ROW()-1),"")</f>
        <v/>
      </c>
      <c r="B51">
        <f>IFERROR(INDEX(Action_Register!E:E,ROW()-1),"")</f>
        <v/>
      </c>
      <c r="C51">
        <f>IFERROR(VLOOKUP(INDEX(Action_Register!F:F,ROW()-1),Action_Templates!A:H,8,FALSE),"")</f>
        <v/>
      </c>
      <c r="D51">
        <f>IFERROR(INDEX(Action_Register!AB:AB,ROW()-1),"")</f>
        <v/>
      </c>
      <c r="E51">
        <f>IFERROR(INDEX(Action_Register!J:J,ROW()-1),"")</f>
        <v/>
      </c>
      <c r="F51">
        <f>IFERROR(INDEX(Action_Register!L:L,ROW()-1),"")</f>
        <v/>
      </c>
      <c r="G51">
        <f>IFERROR(INDEX(Action_Register!N:N,ROW()-1),"")</f>
        <v/>
      </c>
      <c r="H51">
        <f>IFERROR(INDEX(Action_Register!O:O,ROW()-1),"")</f>
        <v/>
      </c>
      <c r="I51">
        <f>IFERROR(INDEX(Action_Register!K:K,ROW()-1),"")</f>
        <v/>
      </c>
    </row>
    <row r="52">
      <c r="A52">
        <f>IFERROR(INDEX(Action_Register!A:A,ROW()-1),"")</f>
        <v/>
      </c>
      <c r="B52">
        <f>IFERROR(INDEX(Action_Register!E:E,ROW()-1),"")</f>
        <v/>
      </c>
      <c r="C52">
        <f>IFERROR(VLOOKUP(INDEX(Action_Register!F:F,ROW()-1),Action_Templates!A:H,8,FALSE),"")</f>
        <v/>
      </c>
      <c r="D52">
        <f>IFERROR(INDEX(Action_Register!AB:AB,ROW()-1),"")</f>
        <v/>
      </c>
      <c r="E52">
        <f>IFERROR(INDEX(Action_Register!J:J,ROW()-1),"")</f>
        <v/>
      </c>
      <c r="F52">
        <f>IFERROR(INDEX(Action_Register!L:L,ROW()-1),"")</f>
        <v/>
      </c>
      <c r="G52">
        <f>IFERROR(INDEX(Action_Register!N:N,ROW()-1),"")</f>
        <v/>
      </c>
      <c r="H52">
        <f>IFERROR(INDEX(Action_Register!O:O,ROW()-1),"")</f>
        <v/>
      </c>
      <c r="I52">
        <f>IFERROR(INDEX(Action_Register!K:K,ROW()-1),"")</f>
        <v/>
      </c>
    </row>
    <row r="53">
      <c r="A53">
        <f>IFERROR(INDEX(Action_Register!A:A,ROW()-1),"")</f>
        <v/>
      </c>
      <c r="B53">
        <f>IFERROR(INDEX(Action_Register!E:E,ROW()-1),"")</f>
        <v/>
      </c>
      <c r="C53">
        <f>IFERROR(VLOOKUP(INDEX(Action_Register!F:F,ROW()-1),Action_Templates!A:H,8,FALSE),"")</f>
        <v/>
      </c>
      <c r="D53">
        <f>IFERROR(INDEX(Action_Register!AB:AB,ROW()-1),"")</f>
        <v/>
      </c>
      <c r="E53">
        <f>IFERROR(INDEX(Action_Register!J:J,ROW()-1),"")</f>
        <v/>
      </c>
      <c r="F53">
        <f>IFERROR(INDEX(Action_Register!L:L,ROW()-1),"")</f>
        <v/>
      </c>
      <c r="G53">
        <f>IFERROR(INDEX(Action_Register!N:N,ROW()-1),"")</f>
        <v/>
      </c>
      <c r="H53">
        <f>IFERROR(INDEX(Action_Register!O:O,ROW()-1),"")</f>
        <v/>
      </c>
      <c r="I53">
        <f>IFERROR(INDEX(Action_Register!K:K,ROW()-1),"")</f>
        <v/>
      </c>
    </row>
    <row r="54">
      <c r="A54">
        <f>IFERROR(INDEX(Action_Register!A:A,ROW()-1),"")</f>
        <v/>
      </c>
      <c r="B54">
        <f>IFERROR(INDEX(Action_Register!E:E,ROW()-1),"")</f>
        <v/>
      </c>
      <c r="C54">
        <f>IFERROR(VLOOKUP(INDEX(Action_Register!F:F,ROW()-1),Action_Templates!A:H,8,FALSE),"")</f>
        <v/>
      </c>
      <c r="D54">
        <f>IFERROR(INDEX(Action_Register!AB:AB,ROW()-1),"")</f>
        <v/>
      </c>
      <c r="E54">
        <f>IFERROR(INDEX(Action_Register!J:J,ROW()-1),"")</f>
        <v/>
      </c>
      <c r="F54">
        <f>IFERROR(INDEX(Action_Register!L:L,ROW()-1),"")</f>
        <v/>
      </c>
      <c r="G54">
        <f>IFERROR(INDEX(Action_Register!N:N,ROW()-1),"")</f>
        <v/>
      </c>
      <c r="H54">
        <f>IFERROR(INDEX(Action_Register!O:O,ROW()-1),"")</f>
        <v/>
      </c>
      <c r="I54">
        <f>IFERROR(INDEX(Action_Register!K:K,ROW()-1),"")</f>
        <v/>
      </c>
    </row>
    <row r="55">
      <c r="A55">
        <f>IFERROR(INDEX(Action_Register!A:A,ROW()-1),"")</f>
        <v/>
      </c>
      <c r="B55">
        <f>IFERROR(INDEX(Action_Register!E:E,ROW()-1),"")</f>
        <v/>
      </c>
      <c r="C55">
        <f>IFERROR(VLOOKUP(INDEX(Action_Register!F:F,ROW()-1),Action_Templates!A:H,8,FALSE),"")</f>
        <v/>
      </c>
      <c r="D55">
        <f>IFERROR(INDEX(Action_Register!AB:AB,ROW()-1),"")</f>
        <v/>
      </c>
      <c r="E55">
        <f>IFERROR(INDEX(Action_Register!J:J,ROW()-1),"")</f>
        <v/>
      </c>
      <c r="F55">
        <f>IFERROR(INDEX(Action_Register!L:L,ROW()-1),"")</f>
        <v/>
      </c>
      <c r="G55">
        <f>IFERROR(INDEX(Action_Register!N:N,ROW()-1),"")</f>
        <v/>
      </c>
      <c r="H55">
        <f>IFERROR(INDEX(Action_Register!O:O,ROW()-1),"")</f>
        <v/>
      </c>
      <c r="I55">
        <f>IFERROR(INDEX(Action_Register!K:K,ROW()-1),"")</f>
        <v/>
      </c>
    </row>
    <row r="56">
      <c r="A56">
        <f>IFERROR(INDEX(Action_Register!A:A,ROW()-1),"")</f>
        <v/>
      </c>
      <c r="B56">
        <f>IFERROR(INDEX(Action_Register!E:E,ROW()-1),"")</f>
        <v/>
      </c>
      <c r="C56">
        <f>IFERROR(VLOOKUP(INDEX(Action_Register!F:F,ROW()-1),Action_Templates!A:H,8,FALSE),"")</f>
        <v/>
      </c>
      <c r="D56">
        <f>IFERROR(INDEX(Action_Register!AB:AB,ROW()-1),"")</f>
        <v/>
      </c>
      <c r="E56">
        <f>IFERROR(INDEX(Action_Register!J:J,ROW()-1),"")</f>
        <v/>
      </c>
      <c r="F56">
        <f>IFERROR(INDEX(Action_Register!L:L,ROW()-1),"")</f>
        <v/>
      </c>
      <c r="G56">
        <f>IFERROR(INDEX(Action_Register!N:N,ROW()-1),"")</f>
        <v/>
      </c>
      <c r="H56">
        <f>IFERROR(INDEX(Action_Register!O:O,ROW()-1),"")</f>
        <v/>
      </c>
      <c r="I56">
        <f>IFERROR(INDEX(Action_Register!K:K,ROW()-1),"")</f>
        <v/>
      </c>
    </row>
    <row r="57">
      <c r="A57">
        <f>IFERROR(INDEX(Action_Register!A:A,ROW()-1),"")</f>
        <v/>
      </c>
      <c r="B57">
        <f>IFERROR(INDEX(Action_Register!E:E,ROW()-1),"")</f>
        <v/>
      </c>
      <c r="C57">
        <f>IFERROR(VLOOKUP(INDEX(Action_Register!F:F,ROW()-1),Action_Templates!A:H,8,FALSE),"")</f>
        <v/>
      </c>
      <c r="D57">
        <f>IFERROR(INDEX(Action_Register!AB:AB,ROW()-1),"")</f>
        <v/>
      </c>
      <c r="E57">
        <f>IFERROR(INDEX(Action_Register!J:J,ROW()-1),"")</f>
        <v/>
      </c>
      <c r="F57">
        <f>IFERROR(INDEX(Action_Register!L:L,ROW()-1),"")</f>
        <v/>
      </c>
      <c r="G57">
        <f>IFERROR(INDEX(Action_Register!N:N,ROW()-1),"")</f>
        <v/>
      </c>
      <c r="H57">
        <f>IFERROR(INDEX(Action_Register!O:O,ROW()-1),"")</f>
        <v/>
      </c>
      <c r="I57">
        <f>IFERROR(INDEX(Action_Register!K:K,ROW()-1),"")</f>
        <v/>
      </c>
    </row>
    <row r="58">
      <c r="A58">
        <f>IFERROR(INDEX(Action_Register!A:A,ROW()-1),"")</f>
        <v/>
      </c>
      <c r="B58">
        <f>IFERROR(INDEX(Action_Register!E:E,ROW()-1),"")</f>
        <v/>
      </c>
      <c r="C58">
        <f>IFERROR(VLOOKUP(INDEX(Action_Register!F:F,ROW()-1),Action_Templates!A:H,8,FALSE),"")</f>
        <v/>
      </c>
      <c r="D58">
        <f>IFERROR(INDEX(Action_Register!AB:AB,ROW()-1),"")</f>
        <v/>
      </c>
      <c r="E58">
        <f>IFERROR(INDEX(Action_Register!J:J,ROW()-1),"")</f>
        <v/>
      </c>
      <c r="F58">
        <f>IFERROR(INDEX(Action_Register!L:L,ROW()-1),"")</f>
        <v/>
      </c>
      <c r="G58">
        <f>IFERROR(INDEX(Action_Register!N:N,ROW()-1),"")</f>
        <v/>
      </c>
      <c r="H58">
        <f>IFERROR(INDEX(Action_Register!O:O,ROW()-1),"")</f>
        <v/>
      </c>
      <c r="I58">
        <f>IFERROR(INDEX(Action_Register!K:K,ROW()-1),"")</f>
        <v/>
      </c>
    </row>
    <row r="59">
      <c r="A59">
        <f>IFERROR(INDEX(Action_Register!A:A,ROW()-1),"")</f>
        <v/>
      </c>
      <c r="B59">
        <f>IFERROR(INDEX(Action_Register!E:E,ROW()-1),"")</f>
        <v/>
      </c>
      <c r="C59">
        <f>IFERROR(VLOOKUP(INDEX(Action_Register!F:F,ROW()-1),Action_Templates!A:H,8,FALSE),"")</f>
        <v/>
      </c>
      <c r="D59">
        <f>IFERROR(INDEX(Action_Register!AB:AB,ROW()-1),"")</f>
        <v/>
      </c>
      <c r="E59">
        <f>IFERROR(INDEX(Action_Register!J:J,ROW()-1),"")</f>
        <v/>
      </c>
      <c r="F59">
        <f>IFERROR(INDEX(Action_Register!L:L,ROW()-1),"")</f>
        <v/>
      </c>
      <c r="G59">
        <f>IFERROR(INDEX(Action_Register!N:N,ROW()-1),"")</f>
        <v/>
      </c>
      <c r="H59">
        <f>IFERROR(INDEX(Action_Register!O:O,ROW()-1),"")</f>
        <v/>
      </c>
      <c r="I59">
        <f>IFERROR(INDEX(Action_Register!K:K,ROW()-1),"")</f>
        <v/>
      </c>
    </row>
    <row r="60">
      <c r="A60">
        <f>IFERROR(INDEX(Action_Register!A:A,ROW()-1),"")</f>
        <v/>
      </c>
      <c r="B60">
        <f>IFERROR(INDEX(Action_Register!E:E,ROW()-1),"")</f>
        <v/>
      </c>
      <c r="C60">
        <f>IFERROR(VLOOKUP(INDEX(Action_Register!F:F,ROW()-1),Action_Templates!A:H,8,FALSE),"")</f>
        <v/>
      </c>
      <c r="D60">
        <f>IFERROR(INDEX(Action_Register!AB:AB,ROW()-1),"")</f>
        <v/>
      </c>
      <c r="E60">
        <f>IFERROR(INDEX(Action_Register!J:J,ROW()-1),"")</f>
        <v/>
      </c>
      <c r="F60">
        <f>IFERROR(INDEX(Action_Register!L:L,ROW()-1),"")</f>
        <v/>
      </c>
      <c r="G60">
        <f>IFERROR(INDEX(Action_Register!N:N,ROW()-1),"")</f>
        <v/>
      </c>
      <c r="H60">
        <f>IFERROR(INDEX(Action_Register!O:O,ROW()-1),"")</f>
        <v/>
      </c>
      <c r="I60">
        <f>IFERROR(INDEX(Action_Register!K:K,ROW()-1),"")</f>
        <v/>
      </c>
    </row>
    <row r="61">
      <c r="A61">
        <f>IFERROR(INDEX(Action_Register!A:A,ROW()-1),"")</f>
        <v/>
      </c>
      <c r="B61">
        <f>IFERROR(INDEX(Action_Register!E:E,ROW()-1),"")</f>
        <v/>
      </c>
      <c r="C61">
        <f>IFERROR(VLOOKUP(INDEX(Action_Register!F:F,ROW()-1),Action_Templates!A:H,8,FALSE),"")</f>
        <v/>
      </c>
      <c r="D61">
        <f>IFERROR(INDEX(Action_Register!AB:AB,ROW()-1),"")</f>
        <v/>
      </c>
      <c r="E61">
        <f>IFERROR(INDEX(Action_Register!J:J,ROW()-1),"")</f>
        <v/>
      </c>
      <c r="F61">
        <f>IFERROR(INDEX(Action_Register!L:L,ROW()-1),"")</f>
        <v/>
      </c>
      <c r="G61">
        <f>IFERROR(INDEX(Action_Register!N:N,ROW()-1),"")</f>
        <v/>
      </c>
      <c r="H61">
        <f>IFERROR(INDEX(Action_Register!O:O,ROW()-1),"")</f>
        <v/>
      </c>
      <c r="I61">
        <f>IFERROR(INDEX(Action_Register!K:K,ROW()-1),"")</f>
        <v/>
      </c>
    </row>
    <row r="62">
      <c r="A62">
        <f>IFERROR(INDEX(Action_Register!A:A,ROW()-1),"")</f>
        <v/>
      </c>
      <c r="B62">
        <f>IFERROR(INDEX(Action_Register!E:E,ROW()-1),"")</f>
        <v/>
      </c>
      <c r="C62">
        <f>IFERROR(VLOOKUP(INDEX(Action_Register!F:F,ROW()-1),Action_Templates!A:H,8,FALSE),"")</f>
        <v/>
      </c>
      <c r="D62">
        <f>IFERROR(INDEX(Action_Register!AB:AB,ROW()-1),"")</f>
        <v/>
      </c>
      <c r="E62">
        <f>IFERROR(INDEX(Action_Register!J:J,ROW()-1),"")</f>
        <v/>
      </c>
      <c r="F62">
        <f>IFERROR(INDEX(Action_Register!L:L,ROW()-1),"")</f>
        <v/>
      </c>
      <c r="G62">
        <f>IFERROR(INDEX(Action_Register!N:N,ROW()-1),"")</f>
        <v/>
      </c>
      <c r="H62">
        <f>IFERROR(INDEX(Action_Register!O:O,ROW()-1),"")</f>
        <v/>
      </c>
      <c r="I62">
        <f>IFERROR(INDEX(Action_Register!K:K,ROW()-1),"")</f>
        <v/>
      </c>
    </row>
    <row r="63">
      <c r="A63">
        <f>IFERROR(INDEX(Action_Register!A:A,ROW()-1),"")</f>
        <v/>
      </c>
      <c r="B63">
        <f>IFERROR(INDEX(Action_Register!E:E,ROW()-1),"")</f>
        <v/>
      </c>
      <c r="C63">
        <f>IFERROR(VLOOKUP(INDEX(Action_Register!F:F,ROW()-1),Action_Templates!A:H,8,FALSE),"")</f>
        <v/>
      </c>
      <c r="D63">
        <f>IFERROR(INDEX(Action_Register!AB:AB,ROW()-1),"")</f>
        <v/>
      </c>
      <c r="E63">
        <f>IFERROR(INDEX(Action_Register!J:J,ROW()-1),"")</f>
        <v/>
      </c>
      <c r="F63">
        <f>IFERROR(INDEX(Action_Register!L:L,ROW()-1),"")</f>
        <v/>
      </c>
      <c r="G63">
        <f>IFERROR(INDEX(Action_Register!N:N,ROW()-1),"")</f>
        <v/>
      </c>
      <c r="H63">
        <f>IFERROR(INDEX(Action_Register!O:O,ROW()-1),"")</f>
        <v/>
      </c>
      <c r="I63">
        <f>IFERROR(INDEX(Action_Register!K:K,ROW()-1),"")</f>
        <v/>
      </c>
    </row>
    <row r="64">
      <c r="A64">
        <f>IFERROR(INDEX(Action_Register!A:A,ROW()-1),"")</f>
        <v/>
      </c>
      <c r="B64">
        <f>IFERROR(INDEX(Action_Register!E:E,ROW()-1),"")</f>
        <v/>
      </c>
      <c r="C64">
        <f>IFERROR(VLOOKUP(INDEX(Action_Register!F:F,ROW()-1),Action_Templates!A:H,8,FALSE),"")</f>
        <v/>
      </c>
      <c r="D64">
        <f>IFERROR(INDEX(Action_Register!AB:AB,ROW()-1),"")</f>
        <v/>
      </c>
      <c r="E64">
        <f>IFERROR(INDEX(Action_Register!J:J,ROW()-1),"")</f>
        <v/>
      </c>
      <c r="F64">
        <f>IFERROR(INDEX(Action_Register!L:L,ROW()-1),"")</f>
        <v/>
      </c>
      <c r="G64">
        <f>IFERROR(INDEX(Action_Register!N:N,ROW()-1),"")</f>
        <v/>
      </c>
      <c r="H64">
        <f>IFERROR(INDEX(Action_Register!O:O,ROW()-1),"")</f>
        <v/>
      </c>
      <c r="I64">
        <f>IFERROR(INDEX(Action_Register!K:K,ROW()-1),"")</f>
        <v/>
      </c>
    </row>
    <row r="65">
      <c r="A65">
        <f>IFERROR(INDEX(Action_Register!A:A,ROW()-1),"")</f>
        <v/>
      </c>
      <c r="B65">
        <f>IFERROR(INDEX(Action_Register!E:E,ROW()-1),"")</f>
        <v/>
      </c>
      <c r="C65">
        <f>IFERROR(VLOOKUP(INDEX(Action_Register!F:F,ROW()-1),Action_Templates!A:H,8,FALSE),"")</f>
        <v/>
      </c>
      <c r="D65">
        <f>IFERROR(INDEX(Action_Register!AB:AB,ROW()-1),"")</f>
        <v/>
      </c>
      <c r="E65">
        <f>IFERROR(INDEX(Action_Register!J:J,ROW()-1),"")</f>
        <v/>
      </c>
      <c r="F65">
        <f>IFERROR(INDEX(Action_Register!L:L,ROW()-1),"")</f>
        <v/>
      </c>
      <c r="G65">
        <f>IFERROR(INDEX(Action_Register!N:N,ROW()-1),"")</f>
        <v/>
      </c>
      <c r="H65">
        <f>IFERROR(INDEX(Action_Register!O:O,ROW()-1),"")</f>
        <v/>
      </c>
      <c r="I65">
        <f>IFERROR(INDEX(Action_Register!K:K,ROW()-1),"")</f>
        <v/>
      </c>
    </row>
    <row r="66">
      <c r="A66">
        <f>IFERROR(INDEX(Action_Register!A:A,ROW()-1),"")</f>
        <v/>
      </c>
      <c r="B66">
        <f>IFERROR(INDEX(Action_Register!E:E,ROW()-1),"")</f>
        <v/>
      </c>
      <c r="C66">
        <f>IFERROR(VLOOKUP(INDEX(Action_Register!F:F,ROW()-1),Action_Templates!A:H,8,FALSE),"")</f>
        <v/>
      </c>
      <c r="D66">
        <f>IFERROR(INDEX(Action_Register!AB:AB,ROW()-1),"")</f>
        <v/>
      </c>
      <c r="E66">
        <f>IFERROR(INDEX(Action_Register!J:J,ROW()-1),"")</f>
        <v/>
      </c>
      <c r="F66">
        <f>IFERROR(INDEX(Action_Register!L:L,ROW()-1),"")</f>
        <v/>
      </c>
      <c r="G66">
        <f>IFERROR(INDEX(Action_Register!N:N,ROW()-1),"")</f>
        <v/>
      </c>
      <c r="H66">
        <f>IFERROR(INDEX(Action_Register!O:O,ROW()-1),"")</f>
        <v/>
      </c>
      <c r="I66">
        <f>IFERROR(INDEX(Action_Register!K:K,ROW()-1),"")</f>
        <v/>
      </c>
    </row>
    <row r="67">
      <c r="A67">
        <f>IFERROR(INDEX(Action_Register!A:A,ROW()-1),"")</f>
        <v/>
      </c>
      <c r="B67">
        <f>IFERROR(INDEX(Action_Register!E:E,ROW()-1),"")</f>
        <v/>
      </c>
      <c r="C67">
        <f>IFERROR(VLOOKUP(INDEX(Action_Register!F:F,ROW()-1),Action_Templates!A:H,8,FALSE),"")</f>
        <v/>
      </c>
      <c r="D67">
        <f>IFERROR(INDEX(Action_Register!AB:AB,ROW()-1),"")</f>
        <v/>
      </c>
      <c r="E67">
        <f>IFERROR(INDEX(Action_Register!J:J,ROW()-1),"")</f>
        <v/>
      </c>
      <c r="F67">
        <f>IFERROR(INDEX(Action_Register!L:L,ROW()-1),"")</f>
        <v/>
      </c>
      <c r="G67">
        <f>IFERROR(INDEX(Action_Register!N:N,ROW()-1),"")</f>
        <v/>
      </c>
      <c r="H67">
        <f>IFERROR(INDEX(Action_Register!O:O,ROW()-1),"")</f>
        <v/>
      </c>
      <c r="I67">
        <f>IFERROR(INDEX(Action_Register!K:K,ROW()-1),"")</f>
        <v/>
      </c>
    </row>
    <row r="68">
      <c r="A68">
        <f>IFERROR(INDEX(Action_Register!A:A,ROW()-1),"")</f>
        <v/>
      </c>
      <c r="B68">
        <f>IFERROR(INDEX(Action_Register!E:E,ROW()-1),"")</f>
        <v/>
      </c>
      <c r="C68">
        <f>IFERROR(VLOOKUP(INDEX(Action_Register!F:F,ROW()-1),Action_Templates!A:H,8,FALSE),"")</f>
        <v/>
      </c>
      <c r="D68">
        <f>IFERROR(INDEX(Action_Register!AB:AB,ROW()-1),"")</f>
        <v/>
      </c>
      <c r="E68">
        <f>IFERROR(INDEX(Action_Register!J:J,ROW()-1),"")</f>
        <v/>
      </c>
      <c r="F68">
        <f>IFERROR(INDEX(Action_Register!L:L,ROW()-1),"")</f>
        <v/>
      </c>
      <c r="G68">
        <f>IFERROR(INDEX(Action_Register!N:N,ROW()-1),"")</f>
        <v/>
      </c>
      <c r="H68">
        <f>IFERROR(INDEX(Action_Register!O:O,ROW()-1),"")</f>
        <v/>
      </c>
      <c r="I68">
        <f>IFERROR(INDEX(Action_Register!K:K,ROW()-1),"")</f>
        <v/>
      </c>
    </row>
    <row r="69">
      <c r="A69">
        <f>IFERROR(INDEX(Action_Register!A:A,ROW()-1),"")</f>
        <v/>
      </c>
      <c r="B69">
        <f>IFERROR(INDEX(Action_Register!E:E,ROW()-1),"")</f>
        <v/>
      </c>
      <c r="C69">
        <f>IFERROR(VLOOKUP(INDEX(Action_Register!F:F,ROW()-1),Action_Templates!A:H,8,FALSE),"")</f>
        <v/>
      </c>
      <c r="D69">
        <f>IFERROR(INDEX(Action_Register!AB:AB,ROW()-1),"")</f>
        <v/>
      </c>
      <c r="E69">
        <f>IFERROR(INDEX(Action_Register!J:J,ROW()-1),"")</f>
        <v/>
      </c>
      <c r="F69">
        <f>IFERROR(INDEX(Action_Register!L:L,ROW()-1),"")</f>
        <v/>
      </c>
      <c r="G69">
        <f>IFERROR(INDEX(Action_Register!N:N,ROW()-1),"")</f>
        <v/>
      </c>
      <c r="H69">
        <f>IFERROR(INDEX(Action_Register!O:O,ROW()-1),"")</f>
        <v/>
      </c>
      <c r="I69">
        <f>IFERROR(INDEX(Action_Register!K:K,ROW()-1),"")</f>
        <v/>
      </c>
    </row>
    <row r="70">
      <c r="A70">
        <f>IFERROR(INDEX(Action_Register!A:A,ROW()-1),"")</f>
        <v/>
      </c>
      <c r="B70">
        <f>IFERROR(INDEX(Action_Register!E:E,ROW()-1),"")</f>
        <v/>
      </c>
      <c r="C70">
        <f>IFERROR(VLOOKUP(INDEX(Action_Register!F:F,ROW()-1),Action_Templates!A:H,8,FALSE),"")</f>
        <v/>
      </c>
      <c r="D70">
        <f>IFERROR(INDEX(Action_Register!AB:AB,ROW()-1),"")</f>
        <v/>
      </c>
      <c r="E70">
        <f>IFERROR(INDEX(Action_Register!J:J,ROW()-1),"")</f>
        <v/>
      </c>
      <c r="F70">
        <f>IFERROR(INDEX(Action_Register!L:L,ROW()-1),"")</f>
        <v/>
      </c>
      <c r="G70">
        <f>IFERROR(INDEX(Action_Register!N:N,ROW()-1),"")</f>
        <v/>
      </c>
      <c r="H70">
        <f>IFERROR(INDEX(Action_Register!O:O,ROW()-1),"")</f>
        <v/>
      </c>
      <c r="I70">
        <f>IFERROR(INDEX(Action_Register!K:K,ROW()-1),"")</f>
        <v/>
      </c>
    </row>
    <row r="71">
      <c r="A71">
        <f>IFERROR(INDEX(Action_Register!A:A,ROW()-1),"")</f>
        <v/>
      </c>
      <c r="B71">
        <f>IFERROR(INDEX(Action_Register!E:E,ROW()-1),"")</f>
        <v/>
      </c>
      <c r="C71">
        <f>IFERROR(VLOOKUP(INDEX(Action_Register!F:F,ROW()-1),Action_Templates!A:H,8,FALSE),"")</f>
        <v/>
      </c>
      <c r="D71">
        <f>IFERROR(INDEX(Action_Register!AB:AB,ROW()-1),"")</f>
        <v/>
      </c>
      <c r="E71">
        <f>IFERROR(INDEX(Action_Register!J:J,ROW()-1),"")</f>
        <v/>
      </c>
      <c r="F71">
        <f>IFERROR(INDEX(Action_Register!L:L,ROW()-1),"")</f>
        <v/>
      </c>
      <c r="G71">
        <f>IFERROR(INDEX(Action_Register!N:N,ROW()-1),"")</f>
        <v/>
      </c>
      <c r="H71">
        <f>IFERROR(INDEX(Action_Register!O:O,ROW()-1),"")</f>
        <v/>
      </c>
      <c r="I71">
        <f>IFERROR(INDEX(Action_Register!K:K,ROW()-1),"")</f>
        <v/>
      </c>
    </row>
    <row r="72">
      <c r="A72">
        <f>IFERROR(INDEX(Action_Register!A:A,ROW()-1),"")</f>
        <v/>
      </c>
      <c r="B72">
        <f>IFERROR(INDEX(Action_Register!E:E,ROW()-1),"")</f>
        <v/>
      </c>
      <c r="C72">
        <f>IFERROR(VLOOKUP(INDEX(Action_Register!F:F,ROW()-1),Action_Templates!A:H,8,FALSE),"")</f>
        <v/>
      </c>
      <c r="D72">
        <f>IFERROR(INDEX(Action_Register!AB:AB,ROW()-1),"")</f>
        <v/>
      </c>
      <c r="E72">
        <f>IFERROR(INDEX(Action_Register!J:J,ROW()-1),"")</f>
        <v/>
      </c>
      <c r="F72">
        <f>IFERROR(INDEX(Action_Register!L:L,ROW()-1),"")</f>
        <v/>
      </c>
      <c r="G72">
        <f>IFERROR(INDEX(Action_Register!N:N,ROW()-1),"")</f>
        <v/>
      </c>
      <c r="H72">
        <f>IFERROR(INDEX(Action_Register!O:O,ROW()-1),"")</f>
        <v/>
      </c>
      <c r="I72">
        <f>IFERROR(INDEX(Action_Register!K:K,ROW()-1),"")</f>
        <v/>
      </c>
    </row>
    <row r="73">
      <c r="A73">
        <f>IFERROR(INDEX(Action_Register!A:A,ROW()-1),"")</f>
        <v/>
      </c>
      <c r="B73">
        <f>IFERROR(INDEX(Action_Register!E:E,ROW()-1),"")</f>
        <v/>
      </c>
      <c r="C73">
        <f>IFERROR(VLOOKUP(INDEX(Action_Register!F:F,ROW()-1),Action_Templates!A:H,8,FALSE),"")</f>
        <v/>
      </c>
      <c r="D73">
        <f>IFERROR(INDEX(Action_Register!AB:AB,ROW()-1),"")</f>
        <v/>
      </c>
      <c r="E73">
        <f>IFERROR(INDEX(Action_Register!J:J,ROW()-1),"")</f>
        <v/>
      </c>
      <c r="F73">
        <f>IFERROR(INDEX(Action_Register!L:L,ROW()-1),"")</f>
        <v/>
      </c>
      <c r="G73">
        <f>IFERROR(INDEX(Action_Register!N:N,ROW()-1),"")</f>
        <v/>
      </c>
      <c r="H73">
        <f>IFERROR(INDEX(Action_Register!O:O,ROW()-1),"")</f>
        <v/>
      </c>
      <c r="I73">
        <f>IFERROR(INDEX(Action_Register!K:K,ROW()-1),"")</f>
        <v/>
      </c>
    </row>
    <row r="74">
      <c r="A74">
        <f>IFERROR(INDEX(Action_Register!A:A,ROW()-1),"")</f>
        <v/>
      </c>
      <c r="B74">
        <f>IFERROR(INDEX(Action_Register!E:E,ROW()-1),"")</f>
        <v/>
      </c>
      <c r="C74">
        <f>IFERROR(VLOOKUP(INDEX(Action_Register!F:F,ROW()-1),Action_Templates!A:H,8,FALSE),"")</f>
        <v/>
      </c>
      <c r="D74">
        <f>IFERROR(INDEX(Action_Register!AB:AB,ROW()-1),"")</f>
        <v/>
      </c>
      <c r="E74">
        <f>IFERROR(INDEX(Action_Register!J:J,ROW()-1),"")</f>
        <v/>
      </c>
      <c r="F74">
        <f>IFERROR(INDEX(Action_Register!L:L,ROW()-1),"")</f>
        <v/>
      </c>
      <c r="G74">
        <f>IFERROR(INDEX(Action_Register!N:N,ROW()-1),"")</f>
        <v/>
      </c>
      <c r="H74">
        <f>IFERROR(INDEX(Action_Register!O:O,ROW()-1),"")</f>
        <v/>
      </c>
      <c r="I74">
        <f>IFERROR(INDEX(Action_Register!K:K,ROW()-1),"")</f>
        <v/>
      </c>
    </row>
    <row r="75">
      <c r="A75">
        <f>IFERROR(INDEX(Action_Register!A:A,ROW()-1),"")</f>
        <v/>
      </c>
      <c r="B75">
        <f>IFERROR(INDEX(Action_Register!E:E,ROW()-1),"")</f>
        <v/>
      </c>
      <c r="C75">
        <f>IFERROR(VLOOKUP(INDEX(Action_Register!F:F,ROW()-1),Action_Templates!A:H,8,FALSE),"")</f>
        <v/>
      </c>
      <c r="D75">
        <f>IFERROR(INDEX(Action_Register!AB:AB,ROW()-1),"")</f>
        <v/>
      </c>
      <c r="E75">
        <f>IFERROR(INDEX(Action_Register!J:J,ROW()-1),"")</f>
        <v/>
      </c>
      <c r="F75">
        <f>IFERROR(INDEX(Action_Register!L:L,ROW()-1),"")</f>
        <v/>
      </c>
      <c r="G75">
        <f>IFERROR(INDEX(Action_Register!N:N,ROW()-1),"")</f>
        <v/>
      </c>
      <c r="H75">
        <f>IFERROR(INDEX(Action_Register!O:O,ROW()-1),"")</f>
        <v/>
      </c>
      <c r="I75">
        <f>IFERROR(INDEX(Action_Register!K:K,ROW()-1),"")</f>
        <v/>
      </c>
    </row>
    <row r="76">
      <c r="A76">
        <f>IFERROR(INDEX(Action_Register!A:A,ROW()-1),"")</f>
        <v/>
      </c>
      <c r="B76">
        <f>IFERROR(INDEX(Action_Register!E:E,ROW()-1),"")</f>
        <v/>
      </c>
      <c r="C76">
        <f>IFERROR(VLOOKUP(INDEX(Action_Register!F:F,ROW()-1),Action_Templates!A:H,8,FALSE),"")</f>
        <v/>
      </c>
      <c r="D76">
        <f>IFERROR(INDEX(Action_Register!AB:AB,ROW()-1),"")</f>
        <v/>
      </c>
      <c r="E76">
        <f>IFERROR(INDEX(Action_Register!J:J,ROW()-1),"")</f>
        <v/>
      </c>
      <c r="F76">
        <f>IFERROR(INDEX(Action_Register!L:L,ROW()-1),"")</f>
        <v/>
      </c>
      <c r="G76">
        <f>IFERROR(INDEX(Action_Register!N:N,ROW()-1),"")</f>
        <v/>
      </c>
      <c r="H76">
        <f>IFERROR(INDEX(Action_Register!O:O,ROW()-1),"")</f>
        <v/>
      </c>
      <c r="I76">
        <f>IFERROR(INDEX(Action_Register!K:K,ROW()-1),"")</f>
        <v/>
      </c>
    </row>
    <row r="77">
      <c r="A77">
        <f>IFERROR(INDEX(Action_Register!A:A,ROW()-1),"")</f>
        <v/>
      </c>
      <c r="B77">
        <f>IFERROR(INDEX(Action_Register!E:E,ROW()-1),"")</f>
        <v/>
      </c>
      <c r="C77">
        <f>IFERROR(VLOOKUP(INDEX(Action_Register!F:F,ROW()-1),Action_Templates!A:H,8,FALSE),"")</f>
        <v/>
      </c>
      <c r="D77">
        <f>IFERROR(INDEX(Action_Register!AB:AB,ROW()-1),"")</f>
        <v/>
      </c>
      <c r="E77">
        <f>IFERROR(INDEX(Action_Register!J:J,ROW()-1),"")</f>
        <v/>
      </c>
      <c r="F77">
        <f>IFERROR(INDEX(Action_Register!L:L,ROW()-1),"")</f>
        <v/>
      </c>
      <c r="G77">
        <f>IFERROR(INDEX(Action_Register!N:N,ROW()-1),"")</f>
        <v/>
      </c>
      <c r="H77">
        <f>IFERROR(INDEX(Action_Register!O:O,ROW()-1),"")</f>
        <v/>
      </c>
      <c r="I77">
        <f>IFERROR(INDEX(Action_Register!K:K,ROW()-1),"")</f>
        <v/>
      </c>
    </row>
    <row r="78">
      <c r="A78">
        <f>IFERROR(INDEX(Action_Register!A:A,ROW()-1),"")</f>
        <v/>
      </c>
      <c r="B78">
        <f>IFERROR(INDEX(Action_Register!E:E,ROW()-1),"")</f>
        <v/>
      </c>
      <c r="C78">
        <f>IFERROR(VLOOKUP(INDEX(Action_Register!F:F,ROW()-1),Action_Templates!A:H,8,FALSE),"")</f>
        <v/>
      </c>
      <c r="D78">
        <f>IFERROR(INDEX(Action_Register!AB:AB,ROW()-1),"")</f>
        <v/>
      </c>
      <c r="E78">
        <f>IFERROR(INDEX(Action_Register!J:J,ROW()-1),"")</f>
        <v/>
      </c>
      <c r="F78">
        <f>IFERROR(INDEX(Action_Register!L:L,ROW()-1),"")</f>
        <v/>
      </c>
      <c r="G78">
        <f>IFERROR(INDEX(Action_Register!N:N,ROW()-1),"")</f>
        <v/>
      </c>
      <c r="H78">
        <f>IFERROR(INDEX(Action_Register!O:O,ROW()-1),"")</f>
        <v/>
      </c>
      <c r="I78">
        <f>IFERROR(INDEX(Action_Register!K:K,ROW()-1),"")</f>
        <v/>
      </c>
    </row>
    <row r="79">
      <c r="A79">
        <f>IFERROR(INDEX(Action_Register!A:A,ROW()-1),"")</f>
        <v/>
      </c>
      <c r="B79">
        <f>IFERROR(INDEX(Action_Register!E:E,ROW()-1),"")</f>
        <v/>
      </c>
      <c r="C79">
        <f>IFERROR(VLOOKUP(INDEX(Action_Register!F:F,ROW()-1),Action_Templates!A:H,8,FALSE),"")</f>
        <v/>
      </c>
      <c r="D79">
        <f>IFERROR(INDEX(Action_Register!AB:AB,ROW()-1),"")</f>
        <v/>
      </c>
      <c r="E79">
        <f>IFERROR(INDEX(Action_Register!J:J,ROW()-1),"")</f>
        <v/>
      </c>
      <c r="F79">
        <f>IFERROR(INDEX(Action_Register!L:L,ROW()-1),"")</f>
        <v/>
      </c>
      <c r="G79">
        <f>IFERROR(INDEX(Action_Register!N:N,ROW()-1),"")</f>
        <v/>
      </c>
      <c r="H79">
        <f>IFERROR(INDEX(Action_Register!O:O,ROW()-1),"")</f>
        <v/>
      </c>
      <c r="I79">
        <f>IFERROR(INDEX(Action_Register!K:K,ROW()-1),"")</f>
        <v/>
      </c>
    </row>
    <row r="80">
      <c r="A80">
        <f>IFERROR(INDEX(Action_Register!A:A,ROW()-1),"")</f>
        <v/>
      </c>
      <c r="B80">
        <f>IFERROR(INDEX(Action_Register!E:E,ROW()-1),"")</f>
        <v/>
      </c>
      <c r="C80">
        <f>IFERROR(VLOOKUP(INDEX(Action_Register!F:F,ROW()-1),Action_Templates!A:H,8,FALSE),"")</f>
        <v/>
      </c>
      <c r="D80">
        <f>IFERROR(INDEX(Action_Register!AB:AB,ROW()-1),"")</f>
        <v/>
      </c>
      <c r="E80">
        <f>IFERROR(INDEX(Action_Register!J:J,ROW()-1),"")</f>
        <v/>
      </c>
      <c r="F80">
        <f>IFERROR(INDEX(Action_Register!L:L,ROW()-1),"")</f>
        <v/>
      </c>
      <c r="G80">
        <f>IFERROR(INDEX(Action_Register!N:N,ROW()-1),"")</f>
        <v/>
      </c>
      <c r="H80">
        <f>IFERROR(INDEX(Action_Register!O:O,ROW()-1),"")</f>
        <v/>
      </c>
      <c r="I80">
        <f>IFERROR(INDEX(Action_Register!K:K,ROW()-1),"")</f>
        <v/>
      </c>
    </row>
    <row r="81">
      <c r="A81">
        <f>IFERROR(INDEX(Action_Register!A:A,ROW()-1),"")</f>
        <v/>
      </c>
      <c r="B81">
        <f>IFERROR(INDEX(Action_Register!E:E,ROW()-1),"")</f>
        <v/>
      </c>
      <c r="C81">
        <f>IFERROR(VLOOKUP(INDEX(Action_Register!F:F,ROW()-1),Action_Templates!A:H,8,FALSE),"")</f>
        <v/>
      </c>
      <c r="D81">
        <f>IFERROR(INDEX(Action_Register!AB:AB,ROW()-1),"")</f>
        <v/>
      </c>
      <c r="E81">
        <f>IFERROR(INDEX(Action_Register!J:J,ROW()-1),"")</f>
        <v/>
      </c>
      <c r="F81">
        <f>IFERROR(INDEX(Action_Register!L:L,ROW()-1),"")</f>
        <v/>
      </c>
      <c r="G81">
        <f>IFERROR(INDEX(Action_Register!N:N,ROW()-1),"")</f>
        <v/>
      </c>
      <c r="H81">
        <f>IFERROR(INDEX(Action_Register!O:O,ROW()-1),"")</f>
        <v/>
      </c>
      <c r="I81">
        <f>IFERROR(INDEX(Action_Register!K:K,ROW()-1),"")</f>
        <v/>
      </c>
    </row>
    <row r="82">
      <c r="A82">
        <f>IFERROR(INDEX(Action_Register!A:A,ROW()-1),"")</f>
        <v/>
      </c>
      <c r="B82">
        <f>IFERROR(INDEX(Action_Register!E:E,ROW()-1),"")</f>
        <v/>
      </c>
      <c r="C82">
        <f>IFERROR(VLOOKUP(INDEX(Action_Register!F:F,ROW()-1),Action_Templates!A:H,8,FALSE),"")</f>
        <v/>
      </c>
      <c r="D82">
        <f>IFERROR(INDEX(Action_Register!AB:AB,ROW()-1),"")</f>
        <v/>
      </c>
      <c r="E82">
        <f>IFERROR(INDEX(Action_Register!J:J,ROW()-1),"")</f>
        <v/>
      </c>
      <c r="F82">
        <f>IFERROR(INDEX(Action_Register!L:L,ROW()-1),"")</f>
        <v/>
      </c>
      <c r="G82">
        <f>IFERROR(INDEX(Action_Register!N:N,ROW()-1),"")</f>
        <v/>
      </c>
      <c r="H82">
        <f>IFERROR(INDEX(Action_Register!O:O,ROW()-1),"")</f>
        <v/>
      </c>
      <c r="I82">
        <f>IFERROR(INDEX(Action_Register!K:K,ROW()-1),"")</f>
        <v/>
      </c>
    </row>
    <row r="83">
      <c r="A83">
        <f>IFERROR(INDEX(Action_Register!A:A,ROW()-1),"")</f>
        <v/>
      </c>
      <c r="B83">
        <f>IFERROR(INDEX(Action_Register!E:E,ROW()-1),"")</f>
        <v/>
      </c>
      <c r="C83">
        <f>IFERROR(VLOOKUP(INDEX(Action_Register!F:F,ROW()-1),Action_Templates!A:H,8,FALSE),"")</f>
        <v/>
      </c>
      <c r="D83">
        <f>IFERROR(INDEX(Action_Register!AB:AB,ROW()-1),"")</f>
        <v/>
      </c>
      <c r="E83">
        <f>IFERROR(INDEX(Action_Register!J:J,ROW()-1),"")</f>
        <v/>
      </c>
      <c r="F83">
        <f>IFERROR(INDEX(Action_Register!L:L,ROW()-1),"")</f>
        <v/>
      </c>
      <c r="G83">
        <f>IFERROR(INDEX(Action_Register!N:N,ROW()-1),"")</f>
        <v/>
      </c>
      <c r="H83">
        <f>IFERROR(INDEX(Action_Register!O:O,ROW()-1),"")</f>
        <v/>
      </c>
      <c r="I83">
        <f>IFERROR(INDEX(Action_Register!K:K,ROW()-1),"")</f>
        <v/>
      </c>
    </row>
    <row r="84">
      <c r="A84">
        <f>IFERROR(INDEX(Action_Register!A:A,ROW()-1),"")</f>
        <v/>
      </c>
      <c r="B84">
        <f>IFERROR(INDEX(Action_Register!E:E,ROW()-1),"")</f>
        <v/>
      </c>
      <c r="C84">
        <f>IFERROR(VLOOKUP(INDEX(Action_Register!F:F,ROW()-1),Action_Templates!A:H,8,FALSE),"")</f>
        <v/>
      </c>
      <c r="D84">
        <f>IFERROR(INDEX(Action_Register!AB:AB,ROW()-1),"")</f>
        <v/>
      </c>
      <c r="E84">
        <f>IFERROR(INDEX(Action_Register!J:J,ROW()-1),"")</f>
        <v/>
      </c>
      <c r="F84">
        <f>IFERROR(INDEX(Action_Register!L:L,ROW()-1),"")</f>
        <v/>
      </c>
      <c r="G84">
        <f>IFERROR(INDEX(Action_Register!N:N,ROW()-1),"")</f>
        <v/>
      </c>
      <c r="H84">
        <f>IFERROR(INDEX(Action_Register!O:O,ROW()-1),"")</f>
        <v/>
      </c>
      <c r="I84">
        <f>IFERROR(INDEX(Action_Register!K:K,ROW()-1),"")</f>
        <v/>
      </c>
    </row>
    <row r="85">
      <c r="A85">
        <f>IFERROR(INDEX(Action_Register!A:A,ROW()-1),"")</f>
        <v/>
      </c>
      <c r="B85">
        <f>IFERROR(INDEX(Action_Register!E:E,ROW()-1),"")</f>
        <v/>
      </c>
      <c r="C85">
        <f>IFERROR(VLOOKUP(INDEX(Action_Register!F:F,ROW()-1),Action_Templates!A:H,8,FALSE),"")</f>
        <v/>
      </c>
      <c r="D85">
        <f>IFERROR(INDEX(Action_Register!AB:AB,ROW()-1),"")</f>
        <v/>
      </c>
      <c r="E85">
        <f>IFERROR(INDEX(Action_Register!J:J,ROW()-1),"")</f>
        <v/>
      </c>
      <c r="F85">
        <f>IFERROR(INDEX(Action_Register!L:L,ROW()-1),"")</f>
        <v/>
      </c>
      <c r="G85">
        <f>IFERROR(INDEX(Action_Register!N:N,ROW()-1),"")</f>
        <v/>
      </c>
      <c r="H85">
        <f>IFERROR(INDEX(Action_Register!O:O,ROW()-1),"")</f>
        <v/>
      </c>
      <c r="I85">
        <f>IFERROR(INDEX(Action_Register!K:K,ROW()-1),"")</f>
        <v/>
      </c>
    </row>
    <row r="86">
      <c r="A86">
        <f>IFERROR(INDEX(Action_Register!A:A,ROW()-1),"")</f>
        <v/>
      </c>
      <c r="B86">
        <f>IFERROR(INDEX(Action_Register!E:E,ROW()-1),"")</f>
        <v/>
      </c>
      <c r="C86">
        <f>IFERROR(VLOOKUP(INDEX(Action_Register!F:F,ROW()-1),Action_Templates!A:H,8,FALSE),"")</f>
        <v/>
      </c>
      <c r="D86">
        <f>IFERROR(INDEX(Action_Register!AB:AB,ROW()-1),"")</f>
        <v/>
      </c>
      <c r="E86">
        <f>IFERROR(INDEX(Action_Register!J:J,ROW()-1),"")</f>
        <v/>
      </c>
      <c r="F86">
        <f>IFERROR(INDEX(Action_Register!L:L,ROW()-1),"")</f>
        <v/>
      </c>
      <c r="G86">
        <f>IFERROR(INDEX(Action_Register!N:N,ROW()-1),"")</f>
        <v/>
      </c>
      <c r="H86">
        <f>IFERROR(INDEX(Action_Register!O:O,ROW()-1),"")</f>
        <v/>
      </c>
      <c r="I86">
        <f>IFERROR(INDEX(Action_Register!K:K,ROW()-1),"")</f>
        <v/>
      </c>
    </row>
    <row r="87">
      <c r="A87">
        <f>IFERROR(INDEX(Action_Register!A:A,ROW()-1),"")</f>
        <v/>
      </c>
      <c r="B87">
        <f>IFERROR(INDEX(Action_Register!E:E,ROW()-1),"")</f>
        <v/>
      </c>
      <c r="C87">
        <f>IFERROR(VLOOKUP(INDEX(Action_Register!F:F,ROW()-1),Action_Templates!A:H,8,FALSE),"")</f>
        <v/>
      </c>
      <c r="D87">
        <f>IFERROR(INDEX(Action_Register!AB:AB,ROW()-1),"")</f>
        <v/>
      </c>
      <c r="E87">
        <f>IFERROR(INDEX(Action_Register!J:J,ROW()-1),"")</f>
        <v/>
      </c>
      <c r="F87">
        <f>IFERROR(INDEX(Action_Register!L:L,ROW()-1),"")</f>
        <v/>
      </c>
      <c r="G87">
        <f>IFERROR(INDEX(Action_Register!N:N,ROW()-1),"")</f>
        <v/>
      </c>
      <c r="H87">
        <f>IFERROR(INDEX(Action_Register!O:O,ROW()-1),"")</f>
        <v/>
      </c>
      <c r="I87">
        <f>IFERROR(INDEX(Action_Register!K:K,ROW()-1),"")</f>
        <v/>
      </c>
    </row>
    <row r="88">
      <c r="A88">
        <f>IFERROR(INDEX(Action_Register!A:A,ROW()-1),"")</f>
        <v/>
      </c>
      <c r="B88">
        <f>IFERROR(INDEX(Action_Register!E:E,ROW()-1),"")</f>
        <v/>
      </c>
      <c r="C88">
        <f>IFERROR(VLOOKUP(INDEX(Action_Register!F:F,ROW()-1),Action_Templates!A:H,8,FALSE),"")</f>
        <v/>
      </c>
      <c r="D88">
        <f>IFERROR(INDEX(Action_Register!AB:AB,ROW()-1),"")</f>
        <v/>
      </c>
      <c r="E88">
        <f>IFERROR(INDEX(Action_Register!J:J,ROW()-1),"")</f>
        <v/>
      </c>
      <c r="F88">
        <f>IFERROR(INDEX(Action_Register!L:L,ROW()-1),"")</f>
        <v/>
      </c>
      <c r="G88">
        <f>IFERROR(INDEX(Action_Register!N:N,ROW()-1),"")</f>
        <v/>
      </c>
      <c r="H88">
        <f>IFERROR(INDEX(Action_Register!O:O,ROW()-1),"")</f>
        <v/>
      </c>
      <c r="I88">
        <f>IFERROR(INDEX(Action_Register!K:K,ROW()-1),"")</f>
        <v/>
      </c>
    </row>
    <row r="89">
      <c r="A89">
        <f>IFERROR(INDEX(Action_Register!A:A,ROW()-1),"")</f>
        <v/>
      </c>
      <c r="B89">
        <f>IFERROR(INDEX(Action_Register!E:E,ROW()-1),"")</f>
        <v/>
      </c>
      <c r="C89">
        <f>IFERROR(VLOOKUP(INDEX(Action_Register!F:F,ROW()-1),Action_Templates!A:H,8,FALSE),"")</f>
        <v/>
      </c>
      <c r="D89">
        <f>IFERROR(INDEX(Action_Register!AB:AB,ROW()-1),"")</f>
        <v/>
      </c>
      <c r="E89">
        <f>IFERROR(INDEX(Action_Register!J:J,ROW()-1),"")</f>
        <v/>
      </c>
      <c r="F89">
        <f>IFERROR(INDEX(Action_Register!L:L,ROW()-1),"")</f>
        <v/>
      </c>
      <c r="G89">
        <f>IFERROR(INDEX(Action_Register!N:N,ROW()-1),"")</f>
        <v/>
      </c>
      <c r="H89">
        <f>IFERROR(INDEX(Action_Register!O:O,ROW()-1),"")</f>
        <v/>
      </c>
      <c r="I89">
        <f>IFERROR(INDEX(Action_Register!K:K,ROW()-1),"")</f>
        <v/>
      </c>
    </row>
    <row r="90">
      <c r="A90">
        <f>IFERROR(INDEX(Action_Register!A:A,ROW()-1),"")</f>
        <v/>
      </c>
      <c r="B90">
        <f>IFERROR(INDEX(Action_Register!E:E,ROW()-1),"")</f>
        <v/>
      </c>
      <c r="C90">
        <f>IFERROR(VLOOKUP(INDEX(Action_Register!F:F,ROW()-1),Action_Templates!A:H,8,FALSE),"")</f>
        <v/>
      </c>
      <c r="D90">
        <f>IFERROR(INDEX(Action_Register!AB:AB,ROW()-1),"")</f>
        <v/>
      </c>
      <c r="E90">
        <f>IFERROR(INDEX(Action_Register!J:J,ROW()-1),"")</f>
        <v/>
      </c>
      <c r="F90">
        <f>IFERROR(INDEX(Action_Register!L:L,ROW()-1),"")</f>
        <v/>
      </c>
      <c r="G90">
        <f>IFERROR(INDEX(Action_Register!N:N,ROW()-1),"")</f>
        <v/>
      </c>
      <c r="H90">
        <f>IFERROR(INDEX(Action_Register!O:O,ROW()-1),"")</f>
        <v/>
      </c>
      <c r="I90">
        <f>IFERROR(INDEX(Action_Register!K:K,ROW()-1),"")</f>
        <v/>
      </c>
    </row>
    <row r="91">
      <c r="A91">
        <f>IFERROR(INDEX(Action_Register!A:A,ROW()-1),"")</f>
        <v/>
      </c>
      <c r="B91">
        <f>IFERROR(INDEX(Action_Register!E:E,ROW()-1),"")</f>
        <v/>
      </c>
      <c r="C91">
        <f>IFERROR(VLOOKUP(INDEX(Action_Register!F:F,ROW()-1),Action_Templates!A:H,8,FALSE),"")</f>
        <v/>
      </c>
      <c r="D91">
        <f>IFERROR(INDEX(Action_Register!AB:AB,ROW()-1),"")</f>
        <v/>
      </c>
      <c r="E91">
        <f>IFERROR(INDEX(Action_Register!J:J,ROW()-1),"")</f>
        <v/>
      </c>
      <c r="F91">
        <f>IFERROR(INDEX(Action_Register!L:L,ROW()-1),"")</f>
        <v/>
      </c>
      <c r="G91">
        <f>IFERROR(INDEX(Action_Register!N:N,ROW()-1),"")</f>
        <v/>
      </c>
      <c r="H91">
        <f>IFERROR(INDEX(Action_Register!O:O,ROW()-1),"")</f>
        <v/>
      </c>
      <c r="I91">
        <f>IFERROR(INDEX(Action_Register!K:K,ROW()-1),"")</f>
        <v/>
      </c>
    </row>
    <row r="92">
      <c r="A92">
        <f>IFERROR(INDEX(Action_Register!A:A,ROW()-1),"")</f>
        <v/>
      </c>
      <c r="B92">
        <f>IFERROR(INDEX(Action_Register!E:E,ROW()-1),"")</f>
        <v/>
      </c>
      <c r="C92">
        <f>IFERROR(VLOOKUP(INDEX(Action_Register!F:F,ROW()-1),Action_Templates!A:H,8,FALSE),"")</f>
        <v/>
      </c>
      <c r="D92">
        <f>IFERROR(INDEX(Action_Register!AB:AB,ROW()-1),"")</f>
        <v/>
      </c>
      <c r="E92">
        <f>IFERROR(INDEX(Action_Register!J:J,ROW()-1),"")</f>
        <v/>
      </c>
      <c r="F92">
        <f>IFERROR(INDEX(Action_Register!L:L,ROW()-1),"")</f>
        <v/>
      </c>
      <c r="G92">
        <f>IFERROR(INDEX(Action_Register!N:N,ROW()-1),"")</f>
        <v/>
      </c>
      <c r="H92">
        <f>IFERROR(INDEX(Action_Register!O:O,ROW()-1),"")</f>
        <v/>
      </c>
      <c r="I92">
        <f>IFERROR(INDEX(Action_Register!K:K,ROW()-1),"")</f>
        <v/>
      </c>
    </row>
    <row r="93">
      <c r="A93">
        <f>IFERROR(INDEX(Action_Register!A:A,ROW()-1),"")</f>
        <v/>
      </c>
      <c r="B93">
        <f>IFERROR(INDEX(Action_Register!E:E,ROW()-1),"")</f>
        <v/>
      </c>
      <c r="C93">
        <f>IFERROR(VLOOKUP(INDEX(Action_Register!F:F,ROW()-1),Action_Templates!A:H,8,FALSE),"")</f>
        <v/>
      </c>
      <c r="D93">
        <f>IFERROR(INDEX(Action_Register!AB:AB,ROW()-1),"")</f>
        <v/>
      </c>
      <c r="E93">
        <f>IFERROR(INDEX(Action_Register!J:J,ROW()-1),"")</f>
        <v/>
      </c>
      <c r="F93">
        <f>IFERROR(INDEX(Action_Register!L:L,ROW()-1),"")</f>
        <v/>
      </c>
      <c r="G93">
        <f>IFERROR(INDEX(Action_Register!N:N,ROW()-1),"")</f>
        <v/>
      </c>
      <c r="H93">
        <f>IFERROR(INDEX(Action_Register!O:O,ROW()-1),"")</f>
        <v/>
      </c>
      <c r="I93">
        <f>IFERROR(INDEX(Action_Register!K:K,ROW()-1),"")</f>
        <v/>
      </c>
    </row>
    <row r="94">
      <c r="A94">
        <f>IFERROR(INDEX(Action_Register!A:A,ROW()-1),"")</f>
        <v/>
      </c>
      <c r="B94">
        <f>IFERROR(INDEX(Action_Register!E:E,ROW()-1),"")</f>
        <v/>
      </c>
      <c r="C94">
        <f>IFERROR(VLOOKUP(INDEX(Action_Register!F:F,ROW()-1),Action_Templates!A:H,8,FALSE),"")</f>
        <v/>
      </c>
      <c r="D94">
        <f>IFERROR(INDEX(Action_Register!AB:AB,ROW()-1),"")</f>
        <v/>
      </c>
      <c r="E94">
        <f>IFERROR(INDEX(Action_Register!J:J,ROW()-1),"")</f>
        <v/>
      </c>
      <c r="F94">
        <f>IFERROR(INDEX(Action_Register!L:L,ROW()-1),"")</f>
        <v/>
      </c>
      <c r="G94">
        <f>IFERROR(INDEX(Action_Register!N:N,ROW()-1),"")</f>
        <v/>
      </c>
      <c r="H94">
        <f>IFERROR(INDEX(Action_Register!O:O,ROW()-1),"")</f>
        <v/>
      </c>
      <c r="I94">
        <f>IFERROR(INDEX(Action_Register!K:K,ROW()-1),"")</f>
        <v/>
      </c>
    </row>
    <row r="95">
      <c r="A95">
        <f>IFERROR(INDEX(Action_Register!A:A,ROW()-1),"")</f>
        <v/>
      </c>
      <c r="B95">
        <f>IFERROR(INDEX(Action_Register!E:E,ROW()-1),"")</f>
        <v/>
      </c>
      <c r="C95">
        <f>IFERROR(VLOOKUP(INDEX(Action_Register!F:F,ROW()-1),Action_Templates!A:H,8,FALSE),"")</f>
        <v/>
      </c>
      <c r="D95">
        <f>IFERROR(INDEX(Action_Register!AB:AB,ROW()-1),"")</f>
        <v/>
      </c>
      <c r="E95">
        <f>IFERROR(INDEX(Action_Register!J:J,ROW()-1),"")</f>
        <v/>
      </c>
      <c r="F95">
        <f>IFERROR(INDEX(Action_Register!L:L,ROW()-1),"")</f>
        <v/>
      </c>
      <c r="G95">
        <f>IFERROR(INDEX(Action_Register!N:N,ROW()-1),"")</f>
        <v/>
      </c>
      <c r="H95">
        <f>IFERROR(INDEX(Action_Register!O:O,ROW()-1),"")</f>
        <v/>
      </c>
      <c r="I95">
        <f>IFERROR(INDEX(Action_Register!K:K,ROW()-1),"")</f>
        <v/>
      </c>
    </row>
    <row r="96">
      <c r="A96">
        <f>IFERROR(INDEX(Action_Register!A:A,ROW()-1),"")</f>
        <v/>
      </c>
      <c r="B96">
        <f>IFERROR(INDEX(Action_Register!E:E,ROW()-1),"")</f>
        <v/>
      </c>
      <c r="C96">
        <f>IFERROR(VLOOKUP(INDEX(Action_Register!F:F,ROW()-1),Action_Templates!A:H,8,FALSE),"")</f>
        <v/>
      </c>
      <c r="D96">
        <f>IFERROR(INDEX(Action_Register!AB:AB,ROW()-1),"")</f>
        <v/>
      </c>
      <c r="E96">
        <f>IFERROR(INDEX(Action_Register!J:J,ROW()-1),"")</f>
        <v/>
      </c>
      <c r="F96">
        <f>IFERROR(INDEX(Action_Register!L:L,ROW()-1),"")</f>
        <v/>
      </c>
      <c r="G96">
        <f>IFERROR(INDEX(Action_Register!N:N,ROW()-1),"")</f>
        <v/>
      </c>
      <c r="H96">
        <f>IFERROR(INDEX(Action_Register!O:O,ROW()-1),"")</f>
        <v/>
      </c>
      <c r="I96">
        <f>IFERROR(INDEX(Action_Register!K:K,ROW()-1),"")</f>
        <v/>
      </c>
    </row>
    <row r="97">
      <c r="A97">
        <f>IFERROR(INDEX(Action_Register!A:A,ROW()-1),"")</f>
        <v/>
      </c>
      <c r="B97">
        <f>IFERROR(INDEX(Action_Register!E:E,ROW()-1),"")</f>
        <v/>
      </c>
      <c r="C97">
        <f>IFERROR(VLOOKUP(INDEX(Action_Register!F:F,ROW()-1),Action_Templates!A:H,8,FALSE),"")</f>
        <v/>
      </c>
      <c r="D97">
        <f>IFERROR(INDEX(Action_Register!AB:AB,ROW()-1),"")</f>
        <v/>
      </c>
      <c r="E97">
        <f>IFERROR(INDEX(Action_Register!J:J,ROW()-1),"")</f>
        <v/>
      </c>
      <c r="F97">
        <f>IFERROR(INDEX(Action_Register!L:L,ROW()-1),"")</f>
        <v/>
      </c>
      <c r="G97">
        <f>IFERROR(INDEX(Action_Register!N:N,ROW()-1),"")</f>
        <v/>
      </c>
      <c r="H97">
        <f>IFERROR(INDEX(Action_Register!O:O,ROW()-1),"")</f>
        <v/>
      </c>
      <c r="I97">
        <f>IFERROR(INDEX(Action_Register!K:K,ROW()-1),"")</f>
        <v/>
      </c>
    </row>
    <row r="98">
      <c r="A98">
        <f>IFERROR(INDEX(Action_Register!A:A,ROW()-1),"")</f>
        <v/>
      </c>
      <c r="B98">
        <f>IFERROR(INDEX(Action_Register!E:E,ROW()-1),"")</f>
        <v/>
      </c>
      <c r="C98">
        <f>IFERROR(VLOOKUP(INDEX(Action_Register!F:F,ROW()-1),Action_Templates!A:H,8,FALSE),"")</f>
        <v/>
      </c>
      <c r="D98">
        <f>IFERROR(INDEX(Action_Register!AB:AB,ROW()-1),"")</f>
        <v/>
      </c>
      <c r="E98">
        <f>IFERROR(INDEX(Action_Register!J:J,ROW()-1),"")</f>
        <v/>
      </c>
      <c r="F98">
        <f>IFERROR(INDEX(Action_Register!L:L,ROW()-1),"")</f>
        <v/>
      </c>
      <c r="G98">
        <f>IFERROR(INDEX(Action_Register!N:N,ROW()-1),"")</f>
        <v/>
      </c>
      <c r="H98">
        <f>IFERROR(INDEX(Action_Register!O:O,ROW()-1),"")</f>
        <v/>
      </c>
      <c r="I98">
        <f>IFERROR(INDEX(Action_Register!K:K,ROW()-1),"")</f>
        <v/>
      </c>
    </row>
    <row r="99">
      <c r="A99">
        <f>IFERROR(INDEX(Action_Register!A:A,ROW()-1),"")</f>
        <v/>
      </c>
      <c r="B99">
        <f>IFERROR(INDEX(Action_Register!E:E,ROW()-1),"")</f>
        <v/>
      </c>
      <c r="C99">
        <f>IFERROR(VLOOKUP(INDEX(Action_Register!F:F,ROW()-1),Action_Templates!A:H,8,FALSE),"")</f>
        <v/>
      </c>
      <c r="D99">
        <f>IFERROR(INDEX(Action_Register!AB:AB,ROW()-1),"")</f>
        <v/>
      </c>
      <c r="E99">
        <f>IFERROR(INDEX(Action_Register!J:J,ROW()-1),"")</f>
        <v/>
      </c>
      <c r="F99">
        <f>IFERROR(INDEX(Action_Register!L:L,ROW()-1),"")</f>
        <v/>
      </c>
      <c r="G99">
        <f>IFERROR(INDEX(Action_Register!N:N,ROW()-1),"")</f>
        <v/>
      </c>
      <c r="H99">
        <f>IFERROR(INDEX(Action_Register!O:O,ROW()-1),"")</f>
        <v/>
      </c>
      <c r="I99">
        <f>IFERROR(INDEX(Action_Register!K:K,ROW()-1),"")</f>
        <v/>
      </c>
    </row>
    <row r="100">
      <c r="A100">
        <f>IFERROR(INDEX(Action_Register!A:A,ROW()-1),"")</f>
        <v/>
      </c>
      <c r="B100">
        <f>IFERROR(INDEX(Action_Register!E:E,ROW()-1),"")</f>
        <v/>
      </c>
      <c r="C100">
        <f>IFERROR(VLOOKUP(INDEX(Action_Register!F:F,ROW()-1),Action_Templates!A:H,8,FALSE),"")</f>
        <v/>
      </c>
      <c r="D100">
        <f>IFERROR(INDEX(Action_Register!AB:AB,ROW()-1),"")</f>
        <v/>
      </c>
      <c r="E100">
        <f>IFERROR(INDEX(Action_Register!J:J,ROW()-1),"")</f>
        <v/>
      </c>
      <c r="F100">
        <f>IFERROR(INDEX(Action_Register!L:L,ROW()-1),"")</f>
        <v/>
      </c>
      <c r="G100">
        <f>IFERROR(INDEX(Action_Register!N:N,ROW()-1),"")</f>
        <v/>
      </c>
      <c r="H100">
        <f>IFERROR(INDEX(Action_Register!O:O,ROW()-1),"")</f>
        <v/>
      </c>
      <c r="I100">
        <f>IFERROR(INDEX(Action_Register!K:K,ROW()-1),"")</f>
        <v/>
      </c>
    </row>
    <row r="101">
      <c r="A101">
        <f>IFERROR(INDEX(Action_Register!A:A,ROW()-1),"")</f>
        <v/>
      </c>
      <c r="B101">
        <f>IFERROR(INDEX(Action_Register!E:E,ROW()-1),"")</f>
        <v/>
      </c>
      <c r="C101">
        <f>IFERROR(VLOOKUP(INDEX(Action_Register!F:F,ROW()-1),Action_Templates!A:H,8,FALSE),"")</f>
        <v/>
      </c>
      <c r="D101">
        <f>IFERROR(INDEX(Action_Register!AB:AB,ROW()-1),"")</f>
        <v/>
      </c>
      <c r="E101">
        <f>IFERROR(INDEX(Action_Register!J:J,ROW()-1),"")</f>
        <v/>
      </c>
      <c r="F101">
        <f>IFERROR(INDEX(Action_Register!L:L,ROW()-1),"")</f>
        <v/>
      </c>
      <c r="G101">
        <f>IFERROR(INDEX(Action_Register!N:N,ROW()-1),"")</f>
        <v/>
      </c>
      <c r="H101">
        <f>IFERROR(INDEX(Action_Register!O:O,ROW()-1),"")</f>
        <v/>
      </c>
      <c r="I101">
        <f>IFERROR(INDEX(Action_Register!K:K,ROW()-1),"")</f>
        <v/>
      </c>
    </row>
    <row r="102">
      <c r="A102">
        <f>IFERROR(INDEX(Action_Register!A:A,ROW()-1),"")</f>
        <v/>
      </c>
      <c r="B102">
        <f>IFERROR(INDEX(Action_Register!E:E,ROW()-1),"")</f>
        <v/>
      </c>
      <c r="C102">
        <f>IFERROR(VLOOKUP(INDEX(Action_Register!F:F,ROW()-1),Action_Templates!A:H,8,FALSE),"")</f>
        <v/>
      </c>
      <c r="D102">
        <f>IFERROR(INDEX(Action_Register!AB:AB,ROW()-1),"")</f>
        <v/>
      </c>
      <c r="E102">
        <f>IFERROR(INDEX(Action_Register!J:J,ROW()-1),"")</f>
        <v/>
      </c>
      <c r="F102">
        <f>IFERROR(INDEX(Action_Register!L:L,ROW()-1),"")</f>
        <v/>
      </c>
      <c r="G102">
        <f>IFERROR(INDEX(Action_Register!N:N,ROW()-1),"")</f>
        <v/>
      </c>
      <c r="H102">
        <f>IFERROR(INDEX(Action_Register!O:O,ROW()-1),"")</f>
        <v/>
      </c>
      <c r="I102">
        <f>IFERROR(INDEX(Action_Register!K:K,ROW()-1),"")</f>
        <v/>
      </c>
    </row>
    <row r="103">
      <c r="A103">
        <f>IFERROR(INDEX(Action_Register!A:A,ROW()-1),"")</f>
        <v/>
      </c>
      <c r="B103">
        <f>IFERROR(INDEX(Action_Register!E:E,ROW()-1),"")</f>
        <v/>
      </c>
      <c r="C103">
        <f>IFERROR(VLOOKUP(INDEX(Action_Register!F:F,ROW()-1),Action_Templates!A:H,8,FALSE),"")</f>
        <v/>
      </c>
      <c r="D103">
        <f>IFERROR(INDEX(Action_Register!AB:AB,ROW()-1),"")</f>
        <v/>
      </c>
      <c r="E103">
        <f>IFERROR(INDEX(Action_Register!J:J,ROW()-1),"")</f>
        <v/>
      </c>
      <c r="F103">
        <f>IFERROR(INDEX(Action_Register!L:L,ROW()-1),"")</f>
        <v/>
      </c>
      <c r="G103">
        <f>IFERROR(INDEX(Action_Register!N:N,ROW()-1),"")</f>
        <v/>
      </c>
      <c r="H103">
        <f>IFERROR(INDEX(Action_Register!O:O,ROW()-1),"")</f>
        <v/>
      </c>
      <c r="I103">
        <f>IFERROR(INDEX(Action_Register!K:K,ROW()-1),"")</f>
        <v/>
      </c>
    </row>
    <row r="104">
      <c r="A104">
        <f>IFERROR(INDEX(Action_Register!A:A,ROW()-1),"")</f>
        <v/>
      </c>
      <c r="B104">
        <f>IFERROR(INDEX(Action_Register!E:E,ROW()-1),"")</f>
        <v/>
      </c>
      <c r="C104">
        <f>IFERROR(VLOOKUP(INDEX(Action_Register!F:F,ROW()-1),Action_Templates!A:H,8,FALSE),"")</f>
        <v/>
      </c>
      <c r="D104">
        <f>IFERROR(INDEX(Action_Register!AB:AB,ROW()-1),"")</f>
        <v/>
      </c>
      <c r="E104">
        <f>IFERROR(INDEX(Action_Register!J:J,ROW()-1),"")</f>
        <v/>
      </c>
      <c r="F104">
        <f>IFERROR(INDEX(Action_Register!L:L,ROW()-1),"")</f>
        <v/>
      </c>
      <c r="G104">
        <f>IFERROR(INDEX(Action_Register!N:N,ROW()-1),"")</f>
        <v/>
      </c>
      <c r="H104">
        <f>IFERROR(INDEX(Action_Register!O:O,ROW()-1),"")</f>
        <v/>
      </c>
      <c r="I104">
        <f>IFERROR(INDEX(Action_Register!K:K,ROW()-1),"")</f>
        <v/>
      </c>
    </row>
    <row r="105">
      <c r="A105">
        <f>IFERROR(INDEX(Action_Register!A:A,ROW()-1),"")</f>
        <v/>
      </c>
      <c r="B105">
        <f>IFERROR(INDEX(Action_Register!E:E,ROW()-1),"")</f>
        <v/>
      </c>
      <c r="C105">
        <f>IFERROR(VLOOKUP(INDEX(Action_Register!F:F,ROW()-1),Action_Templates!A:H,8,FALSE),"")</f>
        <v/>
      </c>
      <c r="D105">
        <f>IFERROR(INDEX(Action_Register!AB:AB,ROW()-1),"")</f>
        <v/>
      </c>
      <c r="E105">
        <f>IFERROR(INDEX(Action_Register!J:J,ROW()-1),"")</f>
        <v/>
      </c>
      <c r="F105">
        <f>IFERROR(INDEX(Action_Register!L:L,ROW()-1),"")</f>
        <v/>
      </c>
      <c r="G105">
        <f>IFERROR(INDEX(Action_Register!N:N,ROW()-1),"")</f>
        <v/>
      </c>
      <c r="H105">
        <f>IFERROR(INDEX(Action_Register!O:O,ROW()-1),"")</f>
        <v/>
      </c>
      <c r="I105">
        <f>IFERROR(INDEX(Action_Register!K:K,ROW()-1),"")</f>
        <v/>
      </c>
    </row>
    <row r="106">
      <c r="A106">
        <f>IFERROR(INDEX(Action_Register!A:A,ROW()-1),"")</f>
        <v/>
      </c>
      <c r="B106">
        <f>IFERROR(INDEX(Action_Register!E:E,ROW()-1),"")</f>
        <v/>
      </c>
      <c r="C106">
        <f>IFERROR(VLOOKUP(INDEX(Action_Register!F:F,ROW()-1),Action_Templates!A:H,8,FALSE),"")</f>
        <v/>
      </c>
      <c r="D106">
        <f>IFERROR(INDEX(Action_Register!AB:AB,ROW()-1),"")</f>
        <v/>
      </c>
      <c r="E106">
        <f>IFERROR(INDEX(Action_Register!J:J,ROW()-1),"")</f>
        <v/>
      </c>
      <c r="F106">
        <f>IFERROR(INDEX(Action_Register!L:L,ROW()-1),"")</f>
        <v/>
      </c>
      <c r="G106">
        <f>IFERROR(INDEX(Action_Register!N:N,ROW()-1),"")</f>
        <v/>
      </c>
      <c r="H106">
        <f>IFERROR(INDEX(Action_Register!O:O,ROW()-1),"")</f>
        <v/>
      </c>
      <c r="I106">
        <f>IFERROR(INDEX(Action_Register!K:K,ROW()-1),"")</f>
        <v/>
      </c>
    </row>
    <row r="107">
      <c r="A107">
        <f>IFERROR(INDEX(Action_Register!A:A,ROW()-1),"")</f>
        <v/>
      </c>
      <c r="B107">
        <f>IFERROR(INDEX(Action_Register!E:E,ROW()-1),"")</f>
        <v/>
      </c>
      <c r="C107">
        <f>IFERROR(VLOOKUP(INDEX(Action_Register!F:F,ROW()-1),Action_Templates!A:H,8,FALSE),"")</f>
        <v/>
      </c>
      <c r="D107">
        <f>IFERROR(INDEX(Action_Register!AB:AB,ROW()-1),"")</f>
        <v/>
      </c>
      <c r="E107">
        <f>IFERROR(INDEX(Action_Register!J:J,ROW()-1),"")</f>
        <v/>
      </c>
      <c r="F107">
        <f>IFERROR(INDEX(Action_Register!L:L,ROW()-1),"")</f>
        <v/>
      </c>
      <c r="G107">
        <f>IFERROR(INDEX(Action_Register!N:N,ROW()-1),"")</f>
        <v/>
      </c>
      <c r="H107">
        <f>IFERROR(INDEX(Action_Register!O:O,ROW()-1),"")</f>
        <v/>
      </c>
      <c r="I107">
        <f>IFERROR(INDEX(Action_Register!K:K,ROW()-1),"")</f>
        <v/>
      </c>
    </row>
    <row r="108">
      <c r="A108">
        <f>IFERROR(INDEX(Action_Register!A:A,ROW()-1),"")</f>
        <v/>
      </c>
      <c r="B108">
        <f>IFERROR(INDEX(Action_Register!E:E,ROW()-1),"")</f>
        <v/>
      </c>
      <c r="C108">
        <f>IFERROR(VLOOKUP(INDEX(Action_Register!F:F,ROW()-1),Action_Templates!A:H,8,FALSE),"")</f>
        <v/>
      </c>
      <c r="D108">
        <f>IFERROR(INDEX(Action_Register!AB:AB,ROW()-1),"")</f>
        <v/>
      </c>
      <c r="E108">
        <f>IFERROR(INDEX(Action_Register!J:J,ROW()-1),"")</f>
        <v/>
      </c>
      <c r="F108">
        <f>IFERROR(INDEX(Action_Register!L:L,ROW()-1),"")</f>
        <v/>
      </c>
      <c r="G108">
        <f>IFERROR(INDEX(Action_Register!N:N,ROW()-1),"")</f>
        <v/>
      </c>
      <c r="H108">
        <f>IFERROR(INDEX(Action_Register!O:O,ROW()-1),"")</f>
        <v/>
      </c>
      <c r="I108">
        <f>IFERROR(INDEX(Action_Register!K:K,ROW()-1),"")</f>
        <v/>
      </c>
    </row>
    <row r="109">
      <c r="A109">
        <f>IFERROR(INDEX(Action_Register!A:A,ROW()-1),"")</f>
        <v/>
      </c>
      <c r="B109">
        <f>IFERROR(INDEX(Action_Register!E:E,ROW()-1),"")</f>
        <v/>
      </c>
      <c r="C109">
        <f>IFERROR(VLOOKUP(INDEX(Action_Register!F:F,ROW()-1),Action_Templates!A:H,8,FALSE),"")</f>
        <v/>
      </c>
      <c r="D109">
        <f>IFERROR(INDEX(Action_Register!AB:AB,ROW()-1),"")</f>
        <v/>
      </c>
      <c r="E109">
        <f>IFERROR(INDEX(Action_Register!J:J,ROW()-1),"")</f>
        <v/>
      </c>
      <c r="F109">
        <f>IFERROR(INDEX(Action_Register!L:L,ROW()-1),"")</f>
        <v/>
      </c>
      <c r="G109">
        <f>IFERROR(INDEX(Action_Register!N:N,ROW()-1),"")</f>
        <v/>
      </c>
      <c r="H109">
        <f>IFERROR(INDEX(Action_Register!O:O,ROW()-1),"")</f>
        <v/>
      </c>
      <c r="I109">
        <f>IFERROR(INDEX(Action_Register!K:K,ROW()-1),"")</f>
        <v/>
      </c>
    </row>
    <row r="110">
      <c r="A110">
        <f>IFERROR(INDEX(Action_Register!A:A,ROW()-1),"")</f>
        <v/>
      </c>
      <c r="B110">
        <f>IFERROR(INDEX(Action_Register!E:E,ROW()-1),"")</f>
        <v/>
      </c>
      <c r="C110">
        <f>IFERROR(VLOOKUP(INDEX(Action_Register!F:F,ROW()-1),Action_Templates!A:H,8,FALSE),"")</f>
        <v/>
      </c>
      <c r="D110">
        <f>IFERROR(INDEX(Action_Register!AB:AB,ROW()-1),"")</f>
        <v/>
      </c>
      <c r="E110">
        <f>IFERROR(INDEX(Action_Register!J:J,ROW()-1),"")</f>
        <v/>
      </c>
      <c r="F110">
        <f>IFERROR(INDEX(Action_Register!L:L,ROW()-1),"")</f>
        <v/>
      </c>
      <c r="G110">
        <f>IFERROR(INDEX(Action_Register!N:N,ROW()-1),"")</f>
        <v/>
      </c>
      <c r="H110">
        <f>IFERROR(INDEX(Action_Register!O:O,ROW()-1),"")</f>
        <v/>
      </c>
      <c r="I110">
        <f>IFERROR(INDEX(Action_Register!K:K,ROW()-1),"")</f>
        <v/>
      </c>
    </row>
    <row r="111">
      <c r="A111">
        <f>IFERROR(INDEX(Action_Register!A:A,ROW()-1),"")</f>
        <v/>
      </c>
      <c r="B111">
        <f>IFERROR(INDEX(Action_Register!E:E,ROW()-1),"")</f>
        <v/>
      </c>
      <c r="C111">
        <f>IFERROR(VLOOKUP(INDEX(Action_Register!F:F,ROW()-1),Action_Templates!A:H,8,FALSE),"")</f>
        <v/>
      </c>
      <c r="D111">
        <f>IFERROR(INDEX(Action_Register!AB:AB,ROW()-1),"")</f>
        <v/>
      </c>
      <c r="E111">
        <f>IFERROR(INDEX(Action_Register!J:J,ROW()-1),"")</f>
        <v/>
      </c>
      <c r="F111">
        <f>IFERROR(INDEX(Action_Register!L:L,ROW()-1),"")</f>
        <v/>
      </c>
      <c r="G111">
        <f>IFERROR(INDEX(Action_Register!N:N,ROW()-1),"")</f>
        <v/>
      </c>
      <c r="H111">
        <f>IFERROR(INDEX(Action_Register!O:O,ROW()-1),"")</f>
        <v/>
      </c>
      <c r="I111">
        <f>IFERROR(INDEX(Action_Register!K:K,ROW()-1),"")</f>
        <v/>
      </c>
    </row>
    <row r="112">
      <c r="A112">
        <f>IFERROR(INDEX(Action_Register!A:A,ROW()-1),"")</f>
        <v/>
      </c>
      <c r="B112">
        <f>IFERROR(INDEX(Action_Register!E:E,ROW()-1),"")</f>
        <v/>
      </c>
      <c r="C112">
        <f>IFERROR(VLOOKUP(INDEX(Action_Register!F:F,ROW()-1),Action_Templates!A:H,8,FALSE),"")</f>
        <v/>
      </c>
      <c r="D112">
        <f>IFERROR(INDEX(Action_Register!AB:AB,ROW()-1),"")</f>
        <v/>
      </c>
      <c r="E112">
        <f>IFERROR(INDEX(Action_Register!J:J,ROW()-1),"")</f>
        <v/>
      </c>
      <c r="F112">
        <f>IFERROR(INDEX(Action_Register!L:L,ROW()-1),"")</f>
        <v/>
      </c>
      <c r="G112">
        <f>IFERROR(INDEX(Action_Register!N:N,ROW()-1),"")</f>
        <v/>
      </c>
      <c r="H112">
        <f>IFERROR(INDEX(Action_Register!O:O,ROW()-1),"")</f>
        <v/>
      </c>
      <c r="I112">
        <f>IFERROR(INDEX(Action_Register!K:K,ROW()-1),"")</f>
        <v/>
      </c>
    </row>
    <row r="113">
      <c r="A113">
        <f>IFERROR(INDEX(Action_Register!A:A,ROW()-1),"")</f>
        <v/>
      </c>
      <c r="B113">
        <f>IFERROR(INDEX(Action_Register!E:E,ROW()-1),"")</f>
        <v/>
      </c>
      <c r="C113">
        <f>IFERROR(VLOOKUP(INDEX(Action_Register!F:F,ROW()-1),Action_Templates!A:H,8,FALSE),"")</f>
        <v/>
      </c>
      <c r="D113">
        <f>IFERROR(INDEX(Action_Register!AB:AB,ROW()-1),"")</f>
        <v/>
      </c>
      <c r="E113">
        <f>IFERROR(INDEX(Action_Register!J:J,ROW()-1),"")</f>
        <v/>
      </c>
      <c r="F113">
        <f>IFERROR(INDEX(Action_Register!L:L,ROW()-1),"")</f>
        <v/>
      </c>
      <c r="G113">
        <f>IFERROR(INDEX(Action_Register!N:N,ROW()-1),"")</f>
        <v/>
      </c>
      <c r="H113">
        <f>IFERROR(INDEX(Action_Register!O:O,ROW()-1),"")</f>
        <v/>
      </c>
      <c r="I113">
        <f>IFERROR(INDEX(Action_Register!K:K,ROW()-1),"")</f>
        <v/>
      </c>
    </row>
    <row r="114">
      <c r="A114">
        <f>IFERROR(INDEX(Action_Register!A:A,ROW()-1),"")</f>
        <v/>
      </c>
      <c r="B114">
        <f>IFERROR(INDEX(Action_Register!E:E,ROW()-1),"")</f>
        <v/>
      </c>
      <c r="C114">
        <f>IFERROR(VLOOKUP(INDEX(Action_Register!F:F,ROW()-1),Action_Templates!A:H,8,FALSE),"")</f>
        <v/>
      </c>
      <c r="D114">
        <f>IFERROR(INDEX(Action_Register!AB:AB,ROW()-1),"")</f>
        <v/>
      </c>
      <c r="E114">
        <f>IFERROR(INDEX(Action_Register!J:J,ROW()-1),"")</f>
        <v/>
      </c>
      <c r="F114">
        <f>IFERROR(INDEX(Action_Register!L:L,ROW()-1),"")</f>
        <v/>
      </c>
      <c r="G114">
        <f>IFERROR(INDEX(Action_Register!N:N,ROW()-1),"")</f>
        <v/>
      </c>
      <c r="H114">
        <f>IFERROR(INDEX(Action_Register!O:O,ROW()-1),"")</f>
        <v/>
      </c>
      <c r="I114">
        <f>IFERROR(INDEX(Action_Register!K:K,ROW()-1),"")</f>
        <v/>
      </c>
    </row>
    <row r="115">
      <c r="A115">
        <f>IFERROR(INDEX(Action_Register!A:A,ROW()-1),"")</f>
        <v/>
      </c>
      <c r="B115">
        <f>IFERROR(INDEX(Action_Register!E:E,ROW()-1),"")</f>
        <v/>
      </c>
      <c r="C115">
        <f>IFERROR(VLOOKUP(INDEX(Action_Register!F:F,ROW()-1),Action_Templates!A:H,8,FALSE),"")</f>
        <v/>
      </c>
      <c r="D115">
        <f>IFERROR(INDEX(Action_Register!AB:AB,ROW()-1),"")</f>
        <v/>
      </c>
      <c r="E115">
        <f>IFERROR(INDEX(Action_Register!J:J,ROW()-1),"")</f>
        <v/>
      </c>
      <c r="F115">
        <f>IFERROR(INDEX(Action_Register!L:L,ROW()-1),"")</f>
        <v/>
      </c>
      <c r="G115">
        <f>IFERROR(INDEX(Action_Register!N:N,ROW()-1),"")</f>
        <v/>
      </c>
      <c r="H115">
        <f>IFERROR(INDEX(Action_Register!O:O,ROW()-1),"")</f>
        <v/>
      </c>
      <c r="I115">
        <f>IFERROR(INDEX(Action_Register!K:K,ROW()-1),"")</f>
        <v/>
      </c>
    </row>
    <row r="116">
      <c r="A116">
        <f>IFERROR(INDEX(Action_Register!A:A,ROW()-1),"")</f>
        <v/>
      </c>
      <c r="B116">
        <f>IFERROR(INDEX(Action_Register!E:E,ROW()-1),"")</f>
        <v/>
      </c>
      <c r="C116">
        <f>IFERROR(VLOOKUP(INDEX(Action_Register!F:F,ROW()-1),Action_Templates!A:H,8,FALSE),"")</f>
        <v/>
      </c>
      <c r="D116">
        <f>IFERROR(INDEX(Action_Register!AB:AB,ROW()-1),"")</f>
        <v/>
      </c>
      <c r="E116">
        <f>IFERROR(INDEX(Action_Register!J:J,ROW()-1),"")</f>
        <v/>
      </c>
      <c r="F116">
        <f>IFERROR(INDEX(Action_Register!L:L,ROW()-1),"")</f>
        <v/>
      </c>
      <c r="G116">
        <f>IFERROR(INDEX(Action_Register!N:N,ROW()-1),"")</f>
        <v/>
      </c>
      <c r="H116">
        <f>IFERROR(INDEX(Action_Register!O:O,ROW()-1),"")</f>
        <v/>
      </c>
      <c r="I116">
        <f>IFERROR(INDEX(Action_Register!K:K,ROW()-1),"")</f>
        <v/>
      </c>
    </row>
    <row r="117">
      <c r="A117">
        <f>IFERROR(INDEX(Action_Register!A:A,ROW()-1),"")</f>
        <v/>
      </c>
      <c r="B117">
        <f>IFERROR(INDEX(Action_Register!E:E,ROW()-1),"")</f>
        <v/>
      </c>
      <c r="C117">
        <f>IFERROR(VLOOKUP(INDEX(Action_Register!F:F,ROW()-1),Action_Templates!A:H,8,FALSE),"")</f>
        <v/>
      </c>
      <c r="D117">
        <f>IFERROR(INDEX(Action_Register!AB:AB,ROW()-1),"")</f>
        <v/>
      </c>
      <c r="E117">
        <f>IFERROR(INDEX(Action_Register!J:J,ROW()-1),"")</f>
        <v/>
      </c>
      <c r="F117">
        <f>IFERROR(INDEX(Action_Register!L:L,ROW()-1),"")</f>
        <v/>
      </c>
      <c r="G117">
        <f>IFERROR(INDEX(Action_Register!N:N,ROW()-1),"")</f>
        <v/>
      </c>
      <c r="H117">
        <f>IFERROR(INDEX(Action_Register!O:O,ROW()-1),"")</f>
        <v/>
      </c>
      <c r="I117">
        <f>IFERROR(INDEX(Action_Register!K:K,ROW()-1),"")</f>
        <v/>
      </c>
    </row>
    <row r="118">
      <c r="A118">
        <f>IFERROR(INDEX(Action_Register!A:A,ROW()-1),"")</f>
        <v/>
      </c>
      <c r="B118">
        <f>IFERROR(INDEX(Action_Register!E:E,ROW()-1),"")</f>
        <v/>
      </c>
      <c r="C118">
        <f>IFERROR(VLOOKUP(INDEX(Action_Register!F:F,ROW()-1),Action_Templates!A:H,8,FALSE),"")</f>
        <v/>
      </c>
      <c r="D118">
        <f>IFERROR(INDEX(Action_Register!AB:AB,ROW()-1),"")</f>
        <v/>
      </c>
      <c r="E118">
        <f>IFERROR(INDEX(Action_Register!J:J,ROW()-1),"")</f>
        <v/>
      </c>
      <c r="F118">
        <f>IFERROR(INDEX(Action_Register!L:L,ROW()-1),"")</f>
        <v/>
      </c>
      <c r="G118">
        <f>IFERROR(INDEX(Action_Register!N:N,ROW()-1),"")</f>
        <v/>
      </c>
      <c r="H118">
        <f>IFERROR(INDEX(Action_Register!O:O,ROW()-1),"")</f>
        <v/>
      </c>
      <c r="I118">
        <f>IFERROR(INDEX(Action_Register!K:K,ROW()-1),"")</f>
        <v/>
      </c>
    </row>
    <row r="119">
      <c r="A119">
        <f>IFERROR(INDEX(Action_Register!A:A,ROW()-1),"")</f>
        <v/>
      </c>
      <c r="B119">
        <f>IFERROR(INDEX(Action_Register!E:E,ROW()-1),"")</f>
        <v/>
      </c>
      <c r="C119">
        <f>IFERROR(VLOOKUP(INDEX(Action_Register!F:F,ROW()-1),Action_Templates!A:H,8,FALSE),"")</f>
        <v/>
      </c>
      <c r="D119">
        <f>IFERROR(INDEX(Action_Register!AB:AB,ROW()-1),"")</f>
        <v/>
      </c>
      <c r="E119">
        <f>IFERROR(INDEX(Action_Register!J:J,ROW()-1),"")</f>
        <v/>
      </c>
      <c r="F119">
        <f>IFERROR(INDEX(Action_Register!L:L,ROW()-1),"")</f>
        <v/>
      </c>
      <c r="G119">
        <f>IFERROR(INDEX(Action_Register!N:N,ROW()-1),"")</f>
        <v/>
      </c>
      <c r="H119">
        <f>IFERROR(INDEX(Action_Register!O:O,ROW()-1),"")</f>
        <v/>
      </c>
      <c r="I119">
        <f>IFERROR(INDEX(Action_Register!K:K,ROW()-1),"")</f>
        <v/>
      </c>
    </row>
    <row r="120">
      <c r="A120">
        <f>IFERROR(INDEX(Action_Register!A:A,ROW()-1),"")</f>
        <v/>
      </c>
      <c r="B120">
        <f>IFERROR(INDEX(Action_Register!E:E,ROW()-1),"")</f>
        <v/>
      </c>
      <c r="C120">
        <f>IFERROR(VLOOKUP(INDEX(Action_Register!F:F,ROW()-1),Action_Templates!A:H,8,FALSE),"")</f>
        <v/>
      </c>
      <c r="D120">
        <f>IFERROR(INDEX(Action_Register!AB:AB,ROW()-1),"")</f>
        <v/>
      </c>
      <c r="E120">
        <f>IFERROR(INDEX(Action_Register!J:J,ROW()-1),"")</f>
        <v/>
      </c>
      <c r="F120">
        <f>IFERROR(INDEX(Action_Register!L:L,ROW()-1),"")</f>
        <v/>
      </c>
      <c r="G120">
        <f>IFERROR(INDEX(Action_Register!N:N,ROW()-1),"")</f>
        <v/>
      </c>
      <c r="H120">
        <f>IFERROR(INDEX(Action_Register!O:O,ROW()-1),"")</f>
        <v/>
      </c>
      <c r="I120">
        <f>IFERROR(INDEX(Action_Register!K:K,ROW()-1),"")</f>
        <v/>
      </c>
    </row>
    <row r="121">
      <c r="A121">
        <f>IFERROR(INDEX(Action_Register!A:A,ROW()-1),"")</f>
        <v/>
      </c>
      <c r="B121">
        <f>IFERROR(INDEX(Action_Register!E:E,ROW()-1),"")</f>
        <v/>
      </c>
      <c r="C121">
        <f>IFERROR(VLOOKUP(INDEX(Action_Register!F:F,ROW()-1),Action_Templates!A:H,8,FALSE),"")</f>
        <v/>
      </c>
      <c r="D121">
        <f>IFERROR(INDEX(Action_Register!AB:AB,ROW()-1),"")</f>
        <v/>
      </c>
      <c r="E121">
        <f>IFERROR(INDEX(Action_Register!J:J,ROW()-1),"")</f>
        <v/>
      </c>
      <c r="F121">
        <f>IFERROR(INDEX(Action_Register!L:L,ROW()-1),"")</f>
        <v/>
      </c>
      <c r="G121">
        <f>IFERROR(INDEX(Action_Register!N:N,ROW()-1),"")</f>
        <v/>
      </c>
      <c r="H121">
        <f>IFERROR(INDEX(Action_Register!O:O,ROW()-1),"")</f>
        <v/>
      </c>
      <c r="I121">
        <f>IFERROR(INDEX(Action_Register!K:K,ROW()-1),"")</f>
        <v/>
      </c>
    </row>
    <row r="122">
      <c r="A122">
        <f>IFERROR(INDEX(Action_Register!A:A,ROW()-1),"")</f>
        <v/>
      </c>
      <c r="B122">
        <f>IFERROR(INDEX(Action_Register!E:E,ROW()-1),"")</f>
        <v/>
      </c>
      <c r="C122">
        <f>IFERROR(VLOOKUP(INDEX(Action_Register!F:F,ROW()-1),Action_Templates!A:H,8,FALSE),"")</f>
        <v/>
      </c>
      <c r="D122">
        <f>IFERROR(INDEX(Action_Register!AB:AB,ROW()-1),"")</f>
        <v/>
      </c>
      <c r="E122">
        <f>IFERROR(INDEX(Action_Register!J:J,ROW()-1),"")</f>
        <v/>
      </c>
      <c r="F122">
        <f>IFERROR(INDEX(Action_Register!L:L,ROW()-1),"")</f>
        <v/>
      </c>
      <c r="G122">
        <f>IFERROR(INDEX(Action_Register!N:N,ROW()-1),"")</f>
        <v/>
      </c>
      <c r="H122">
        <f>IFERROR(INDEX(Action_Register!O:O,ROW()-1),"")</f>
        <v/>
      </c>
      <c r="I122">
        <f>IFERROR(INDEX(Action_Register!K:K,ROW()-1),"")</f>
        <v/>
      </c>
    </row>
    <row r="123">
      <c r="A123">
        <f>IFERROR(INDEX(Action_Register!A:A,ROW()-1),"")</f>
        <v/>
      </c>
      <c r="B123">
        <f>IFERROR(INDEX(Action_Register!E:E,ROW()-1),"")</f>
        <v/>
      </c>
      <c r="C123">
        <f>IFERROR(VLOOKUP(INDEX(Action_Register!F:F,ROW()-1),Action_Templates!A:H,8,FALSE),"")</f>
        <v/>
      </c>
      <c r="D123">
        <f>IFERROR(INDEX(Action_Register!AB:AB,ROW()-1),"")</f>
        <v/>
      </c>
      <c r="E123">
        <f>IFERROR(INDEX(Action_Register!J:J,ROW()-1),"")</f>
        <v/>
      </c>
      <c r="F123">
        <f>IFERROR(INDEX(Action_Register!L:L,ROW()-1),"")</f>
        <v/>
      </c>
      <c r="G123">
        <f>IFERROR(INDEX(Action_Register!N:N,ROW()-1),"")</f>
        <v/>
      </c>
      <c r="H123">
        <f>IFERROR(INDEX(Action_Register!O:O,ROW()-1),"")</f>
        <v/>
      </c>
      <c r="I123">
        <f>IFERROR(INDEX(Action_Register!K:K,ROW()-1),"")</f>
        <v/>
      </c>
    </row>
    <row r="124">
      <c r="A124">
        <f>IFERROR(INDEX(Action_Register!A:A,ROW()-1),"")</f>
        <v/>
      </c>
      <c r="B124">
        <f>IFERROR(INDEX(Action_Register!E:E,ROW()-1),"")</f>
        <v/>
      </c>
      <c r="C124">
        <f>IFERROR(VLOOKUP(INDEX(Action_Register!F:F,ROW()-1),Action_Templates!A:H,8,FALSE),"")</f>
        <v/>
      </c>
      <c r="D124">
        <f>IFERROR(INDEX(Action_Register!AB:AB,ROW()-1),"")</f>
        <v/>
      </c>
      <c r="E124">
        <f>IFERROR(INDEX(Action_Register!J:J,ROW()-1),"")</f>
        <v/>
      </c>
      <c r="F124">
        <f>IFERROR(INDEX(Action_Register!L:L,ROW()-1),"")</f>
        <v/>
      </c>
      <c r="G124">
        <f>IFERROR(INDEX(Action_Register!N:N,ROW()-1),"")</f>
        <v/>
      </c>
      <c r="H124">
        <f>IFERROR(INDEX(Action_Register!O:O,ROW()-1),"")</f>
        <v/>
      </c>
      <c r="I124">
        <f>IFERROR(INDEX(Action_Register!K:K,ROW()-1),"")</f>
        <v/>
      </c>
    </row>
    <row r="125">
      <c r="A125">
        <f>IFERROR(INDEX(Action_Register!A:A,ROW()-1),"")</f>
        <v/>
      </c>
      <c r="B125">
        <f>IFERROR(INDEX(Action_Register!E:E,ROW()-1),"")</f>
        <v/>
      </c>
      <c r="C125">
        <f>IFERROR(VLOOKUP(INDEX(Action_Register!F:F,ROW()-1),Action_Templates!A:H,8,FALSE),"")</f>
        <v/>
      </c>
      <c r="D125">
        <f>IFERROR(INDEX(Action_Register!AB:AB,ROW()-1),"")</f>
        <v/>
      </c>
      <c r="E125">
        <f>IFERROR(INDEX(Action_Register!J:J,ROW()-1),"")</f>
        <v/>
      </c>
      <c r="F125">
        <f>IFERROR(INDEX(Action_Register!L:L,ROW()-1),"")</f>
        <v/>
      </c>
      <c r="G125">
        <f>IFERROR(INDEX(Action_Register!N:N,ROW()-1),"")</f>
        <v/>
      </c>
      <c r="H125">
        <f>IFERROR(INDEX(Action_Register!O:O,ROW()-1),"")</f>
        <v/>
      </c>
      <c r="I125">
        <f>IFERROR(INDEX(Action_Register!K:K,ROW()-1),"")</f>
        <v/>
      </c>
    </row>
    <row r="126">
      <c r="A126">
        <f>IFERROR(INDEX(Action_Register!A:A,ROW()-1),"")</f>
        <v/>
      </c>
      <c r="B126">
        <f>IFERROR(INDEX(Action_Register!E:E,ROW()-1),"")</f>
        <v/>
      </c>
      <c r="C126">
        <f>IFERROR(VLOOKUP(INDEX(Action_Register!F:F,ROW()-1),Action_Templates!A:H,8,FALSE),"")</f>
        <v/>
      </c>
      <c r="D126">
        <f>IFERROR(INDEX(Action_Register!AB:AB,ROW()-1),"")</f>
        <v/>
      </c>
      <c r="E126">
        <f>IFERROR(INDEX(Action_Register!J:J,ROW()-1),"")</f>
        <v/>
      </c>
      <c r="F126">
        <f>IFERROR(INDEX(Action_Register!L:L,ROW()-1),"")</f>
        <v/>
      </c>
      <c r="G126">
        <f>IFERROR(INDEX(Action_Register!N:N,ROW()-1),"")</f>
        <v/>
      </c>
      <c r="H126">
        <f>IFERROR(INDEX(Action_Register!O:O,ROW()-1),"")</f>
        <v/>
      </c>
      <c r="I126">
        <f>IFERROR(INDEX(Action_Register!K:K,ROW()-1),"")</f>
        <v/>
      </c>
    </row>
    <row r="127">
      <c r="A127">
        <f>IFERROR(INDEX(Action_Register!A:A,ROW()-1),"")</f>
        <v/>
      </c>
      <c r="B127">
        <f>IFERROR(INDEX(Action_Register!E:E,ROW()-1),"")</f>
        <v/>
      </c>
      <c r="C127">
        <f>IFERROR(VLOOKUP(INDEX(Action_Register!F:F,ROW()-1),Action_Templates!A:H,8,FALSE),"")</f>
        <v/>
      </c>
      <c r="D127">
        <f>IFERROR(INDEX(Action_Register!AB:AB,ROW()-1),"")</f>
        <v/>
      </c>
      <c r="E127">
        <f>IFERROR(INDEX(Action_Register!J:J,ROW()-1),"")</f>
        <v/>
      </c>
      <c r="F127">
        <f>IFERROR(INDEX(Action_Register!L:L,ROW()-1),"")</f>
        <v/>
      </c>
      <c r="G127">
        <f>IFERROR(INDEX(Action_Register!N:N,ROW()-1),"")</f>
        <v/>
      </c>
      <c r="H127">
        <f>IFERROR(INDEX(Action_Register!O:O,ROW()-1),"")</f>
        <v/>
      </c>
      <c r="I127">
        <f>IFERROR(INDEX(Action_Register!K:K,ROW()-1),"")</f>
        <v/>
      </c>
    </row>
    <row r="128">
      <c r="A128">
        <f>IFERROR(INDEX(Action_Register!A:A,ROW()-1),"")</f>
        <v/>
      </c>
      <c r="B128">
        <f>IFERROR(INDEX(Action_Register!E:E,ROW()-1),"")</f>
        <v/>
      </c>
      <c r="C128">
        <f>IFERROR(VLOOKUP(INDEX(Action_Register!F:F,ROW()-1),Action_Templates!A:H,8,FALSE),"")</f>
        <v/>
      </c>
      <c r="D128">
        <f>IFERROR(INDEX(Action_Register!AB:AB,ROW()-1),"")</f>
        <v/>
      </c>
      <c r="E128">
        <f>IFERROR(INDEX(Action_Register!J:J,ROW()-1),"")</f>
        <v/>
      </c>
      <c r="F128">
        <f>IFERROR(INDEX(Action_Register!L:L,ROW()-1),"")</f>
        <v/>
      </c>
      <c r="G128">
        <f>IFERROR(INDEX(Action_Register!N:N,ROW()-1),"")</f>
        <v/>
      </c>
      <c r="H128">
        <f>IFERROR(INDEX(Action_Register!O:O,ROW()-1),"")</f>
        <v/>
      </c>
      <c r="I128">
        <f>IFERROR(INDEX(Action_Register!K:K,ROW()-1),"")</f>
        <v/>
      </c>
    </row>
    <row r="129">
      <c r="A129">
        <f>IFERROR(INDEX(Action_Register!A:A,ROW()-1),"")</f>
        <v/>
      </c>
      <c r="B129">
        <f>IFERROR(INDEX(Action_Register!E:E,ROW()-1),"")</f>
        <v/>
      </c>
      <c r="C129">
        <f>IFERROR(VLOOKUP(INDEX(Action_Register!F:F,ROW()-1),Action_Templates!A:H,8,FALSE),"")</f>
        <v/>
      </c>
      <c r="D129">
        <f>IFERROR(INDEX(Action_Register!AB:AB,ROW()-1),"")</f>
        <v/>
      </c>
      <c r="E129">
        <f>IFERROR(INDEX(Action_Register!J:J,ROW()-1),"")</f>
        <v/>
      </c>
      <c r="F129">
        <f>IFERROR(INDEX(Action_Register!L:L,ROW()-1),"")</f>
        <v/>
      </c>
      <c r="G129">
        <f>IFERROR(INDEX(Action_Register!N:N,ROW()-1),"")</f>
        <v/>
      </c>
      <c r="H129">
        <f>IFERROR(INDEX(Action_Register!O:O,ROW()-1),"")</f>
        <v/>
      </c>
      <c r="I129">
        <f>IFERROR(INDEX(Action_Register!K:K,ROW()-1),"")</f>
        <v/>
      </c>
    </row>
    <row r="130">
      <c r="A130">
        <f>IFERROR(INDEX(Action_Register!A:A,ROW()-1),"")</f>
        <v/>
      </c>
      <c r="B130">
        <f>IFERROR(INDEX(Action_Register!E:E,ROW()-1),"")</f>
        <v/>
      </c>
      <c r="C130">
        <f>IFERROR(VLOOKUP(INDEX(Action_Register!F:F,ROW()-1),Action_Templates!A:H,8,FALSE),"")</f>
        <v/>
      </c>
      <c r="D130">
        <f>IFERROR(INDEX(Action_Register!AB:AB,ROW()-1),"")</f>
        <v/>
      </c>
      <c r="E130">
        <f>IFERROR(INDEX(Action_Register!J:J,ROW()-1),"")</f>
        <v/>
      </c>
      <c r="F130">
        <f>IFERROR(INDEX(Action_Register!L:L,ROW()-1),"")</f>
        <v/>
      </c>
      <c r="G130">
        <f>IFERROR(INDEX(Action_Register!N:N,ROW()-1),"")</f>
        <v/>
      </c>
      <c r="H130">
        <f>IFERROR(INDEX(Action_Register!O:O,ROW()-1),"")</f>
        <v/>
      </c>
      <c r="I130">
        <f>IFERROR(INDEX(Action_Register!K:K,ROW()-1),"")</f>
        <v/>
      </c>
    </row>
    <row r="131">
      <c r="A131">
        <f>IFERROR(INDEX(Action_Register!A:A,ROW()-1),"")</f>
        <v/>
      </c>
      <c r="B131">
        <f>IFERROR(INDEX(Action_Register!E:E,ROW()-1),"")</f>
        <v/>
      </c>
      <c r="C131">
        <f>IFERROR(VLOOKUP(INDEX(Action_Register!F:F,ROW()-1),Action_Templates!A:H,8,FALSE),"")</f>
        <v/>
      </c>
      <c r="D131">
        <f>IFERROR(INDEX(Action_Register!AB:AB,ROW()-1),"")</f>
        <v/>
      </c>
      <c r="E131">
        <f>IFERROR(INDEX(Action_Register!J:J,ROW()-1),"")</f>
        <v/>
      </c>
      <c r="F131">
        <f>IFERROR(INDEX(Action_Register!L:L,ROW()-1),"")</f>
        <v/>
      </c>
      <c r="G131">
        <f>IFERROR(INDEX(Action_Register!N:N,ROW()-1),"")</f>
        <v/>
      </c>
      <c r="H131">
        <f>IFERROR(INDEX(Action_Register!O:O,ROW()-1),"")</f>
        <v/>
      </c>
      <c r="I131">
        <f>IFERROR(INDEX(Action_Register!K:K,ROW()-1),"")</f>
        <v/>
      </c>
    </row>
    <row r="132">
      <c r="A132">
        <f>IFERROR(INDEX(Action_Register!A:A,ROW()-1),"")</f>
        <v/>
      </c>
      <c r="B132">
        <f>IFERROR(INDEX(Action_Register!E:E,ROW()-1),"")</f>
        <v/>
      </c>
      <c r="C132">
        <f>IFERROR(VLOOKUP(INDEX(Action_Register!F:F,ROW()-1),Action_Templates!A:H,8,FALSE),"")</f>
        <v/>
      </c>
      <c r="D132">
        <f>IFERROR(INDEX(Action_Register!AB:AB,ROW()-1),"")</f>
        <v/>
      </c>
      <c r="E132">
        <f>IFERROR(INDEX(Action_Register!J:J,ROW()-1),"")</f>
        <v/>
      </c>
      <c r="F132">
        <f>IFERROR(INDEX(Action_Register!L:L,ROW()-1),"")</f>
        <v/>
      </c>
      <c r="G132">
        <f>IFERROR(INDEX(Action_Register!N:N,ROW()-1),"")</f>
        <v/>
      </c>
      <c r="H132">
        <f>IFERROR(INDEX(Action_Register!O:O,ROW()-1),"")</f>
        <v/>
      </c>
      <c r="I132">
        <f>IFERROR(INDEX(Action_Register!K:K,ROW()-1),"")</f>
        <v/>
      </c>
    </row>
    <row r="133">
      <c r="A133">
        <f>IFERROR(INDEX(Action_Register!A:A,ROW()-1),"")</f>
        <v/>
      </c>
      <c r="B133">
        <f>IFERROR(INDEX(Action_Register!E:E,ROW()-1),"")</f>
        <v/>
      </c>
      <c r="C133">
        <f>IFERROR(VLOOKUP(INDEX(Action_Register!F:F,ROW()-1),Action_Templates!A:H,8,FALSE),"")</f>
        <v/>
      </c>
      <c r="D133">
        <f>IFERROR(INDEX(Action_Register!AB:AB,ROW()-1),"")</f>
        <v/>
      </c>
      <c r="E133">
        <f>IFERROR(INDEX(Action_Register!J:J,ROW()-1),"")</f>
        <v/>
      </c>
      <c r="F133">
        <f>IFERROR(INDEX(Action_Register!L:L,ROW()-1),"")</f>
        <v/>
      </c>
      <c r="G133">
        <f>IFERROR(INDEX(Action_Register!N:N,ROW()-1),"")</f>
        <v/>
      </c>
      <c r="H133">
        <f>IFERROR(INDEX(Action_Register!O:O,ROW()-1),"")</f>
        <v/>
      </c>
      <c r="I133">
        <f>IFERROR(INDEX(Action_Register!K:K,ROW()-1),"")</f>
        <v/>
      </c>
    </row>
    <row r="134">
      <c r="A134">
        <f>IFERROR(INDEX(Action_Register!A:A,ROW()-1),"")</f>
        <v/>
      </c>
      <c r="B134">
        <f>IFERROR(INDEX(Action_Register!E:E,ROW()-1),"")</f>
        <v/>
      </c>
      <c r="C134">
        <f>IFERROR(VLOOKUP(INDEX(Action_Register!F:F,ROW()-1),Action_Templates!A:H,8,FALSE),"")</f>
        <v/>
      </c>
      <c r="D134">
        <f>IFERROR(INDEX(Action_Register!AB:AB,ROW()-1),"")</f>
        <v/>
      </c>
      <c r="E134">
        <f>IFERROR(INDEX(Action_Register!J:J,ROW()-1),"")</f>
        <v/>
      </c>
      <c r="F134">
        <f>IFERROR(INDEX(Action_Register!L:L,ROW()-1),"")</f>
        <v/>
      </c>
      <c r="G134">
        <f>IFERROR(INDEX(Action_Register!N:N,ROW()-1),"")</f>
        <v/>
      </c>
      <c r="H134">
        <f>IFERROR(INDEX(Action_Register!O:O,ROW()-1),"")</f>
        <v/>
      </c>
      <c r="I134">
        <f>IFERROR(INDEX(Action_Register!K:K,ROW()-1),"")</f>
        <v/>
      </c>
    </row>
    <row r="135">
      <c r="A135">
        <f>IFERROR(INDEX(Action_Register!A:A,ROW()-1),"")</f>
        <v/>
      </c>
      <c r="B135">
        <f>IFERROR(INDEX(Action_Register!E:E,ROW()-1),"")</f>
        <v/>
      </c>
      <c r="C135">
        <f>IFERROR(VLOOKUP(INDEX(Action_Register!F:F,ROW()-1),Action_Templates!A:H,8,FALSE),"")</f>
        <v/>
      </c>
      <c r="D135">
        <f>IFERROR(INDEX(Action_Register!AB:AB,ROW()-1),"")</f>
        <v/>
      </c>
      <c r="E135">
        <f>IFERROR(INDEX(Action_Register!J:J,ROW()-1),"")</f>
        <v/>
      </c>
      <c r="F135">
        <f>IFERROR(INDEX(Action_Register!L:L,ROW()-1),"")</f>
        <v/>
      </c>
      <c r="G135">
        <f>IFERROR(INDEX(Action_Register!N:N,ROW()-1),"")</f>
        <v/>
      </c>
      <c r="H135">
        <f>IFERROR(INDEX(Action_Register!O:O,ROW()-1),"")</f>
        <v/>
      </c>
      <c r="I135">
        <f>IFERROR(INDEX(Action_Register!K:K,ROW()-1),"")</f>
        <v/>
      </c>
    </row>
    <row r="136">
      <c r="A136">
        <f>IFERROR(INDEX(Action_Register!A:A,ROW()-1),"")</f>
        <v/>
      </c>
      <c r="B136">
        <f>IFERROR(INDEX(Action_Register!E:E,ROW()-1),"")</f>
        <v/>
      </c>
      <c r="C136">
        <f>IFERROR(VLOOKUP(INDEX(Action_Register!F:F,ROW()-1),Action_Templates!A:H,8,FALSE),"")</f>
        <v/>
      </c>
      <c r="D136">
        <f>IFERROR(INDEX(Action_Register!AB:AB,ROW()-1),"")</f>
        <v/>
      </c>
      <c r="E136">
        <f>IFERROR(INDEX(Action_Register!J:J,ROW()-1),"")</f>
        <v/>
      </c>
      <c r="F136">
        <f>IFERROR(INDEX(Action_Register!L:L,ROW()-1),"")</f>
        <v/>
      </c>
      <c r="G136">
        <f>IFERROR(INDEX(Action_Register!N:N,ROW()-1),"")</f>
        <v/>
      </c>
      <c r="H136">
        <f>IFERROR(INDEX(Action_Register!O:O,ROW()-1),"")</f>
        <v/>
      </c>
      <c r="I136">
        <f>IFERROR(INDEX(Action_Register!K:K,ROW()-1),"")</f>
        <v/>
      </c>
    </row>
    <row r="137">
      <c r="A137">
        <f>IFERROR(INDEX(Action_Register!A:A,ROW()-1),"")</f>
        <v/>
      </c>
      <c r="B137">
        <f>IFERROR(INDEX(Action_Register!E:E,ROW()-1),"")</f>
        <v/>
      </c>
      <c r="C137">
        <f>IFERROR(VLOOKUP(INDEX(Action_Register!F:F,ROW()-1),Action_Templates!A:H,8,FALSE),"")</f>
        <v/>
      </c>
      <c r="D137">
        <f>IFERROR(INDEX(Action_Register!AB:AB,ROW()-1),"")</f>
        <v/>
      </c>
      <c r="E137">
        <f>IFERROR(INDEX(Action_Register!J:J,ROW()-1),"")</f>
        <v/>
      </c>
      <c r="F137">
        <f>IFERROR(INDEX(Action_Register!L:L,ROW()-1),"")</f>
        <v/>
      </c>
      <c r="G137">
        <f>IFERROR(INDEX(Action_Register!N:N,ROW()-1),"")</f>
        <v/>
      </c>
      <c r="H137">
        <f>IFERROR(INDEX(Action_Register!O:O,ROW()-1),"")</f>
        <v/>
      </c>
      <c r="I137">
        <f>IFERROR(INDEX(Action_Register!K:K,ROW()-1),"")</f>
        <v/>
      </c>
    </row>
    <row r="138">
      <c r="A138">
        <f>IFERROR(INDEX(Action_Register!A:A,ROW()-1),"")</f>
        <v/>
      </c>
      <c r="B138">
        <f>IFERROR(INDEX(Action_Register!E:E,ROW()-1),"")</f>
        <v/>
      </c>
      <c r="C138">
        <f>IFERROR(VLOOKUP(INDEX(Action_Register!F:F,ROW()-1),Action_Templates!A:H,8,FALSE),"")</f>
        <v/>
      </c>
      <c r="D138">
        <f>IFERROR(INDEX(Action_Register!AB:AB,ROW()-1),"")</f>
        <v/>
      </c>
      <c r="E138">
        <f>IFERROR(INDEX(Action_Register!J:J,ROW()-1),"")</f>
        <v/>
      </c>
      <c r="F138">
        <f>IFERROR(INDEX(Action_Register!L:L,ROW()-1),"")</f>
        <v/>
      </c>
      <c r="G138">
        <f>IFERROR(INDEX(Action_Register!N:N,ROW()-1),"")</f>
        <v/>
      </c>
      <c r="H138">
        <f>IFERROR(INDEX(Action_Register!O:O,ROW()-1),"")</f>
        <v/>
      </c>
      <c r="I138">
        <f>IFERROR(INDEX(Action_Register!K:K,ROW()-1),"")</f>
        <v/>
      </c>
    </row>
    <row r="139">
      <c r="A139">
        <f>IFERROR(INDEX(Action_Register!A:A,ROW()-1),"")</f>
        <v/>
      </c>
      <c r="B139">
        <f>IFERROR(INDEX(Action_Register!E:E,ROW()-1),"")</f>
        <v/>
      </c>
      <c r="C139">
        <f>IFERROR(VLOOKUP(INDEX(Action_Register!F:F,ROW()-1),Action_Templates!A:H,8,FALSE),"")</f>
        <v/>
      </c>
      <c r="D139">
        <f>IFERROR(INDEX(Action_Register!AB:AB,ROW()-1),"")</f>
        <v/>
      </c>
      <c r="E139">
        <f>IFERROR(INDEX(Action_Register!J:J,ROW()-1),"")</f>
        <v/>
      </c>
      <c r="F139">
        <f>IFERROR(INDEX(Action_Register!L:L,ROW()-1),"")</f>
        <v/>
      </c>
      <c r="G139">
        <f>IFERROR(INDEX(Action_Register!N:N,ROW()-1),"")</f>
        <v/>
      </c>
      <c r="H139">
        <f>IFERROR(INDEX(Action_Register!O:O,ROW()-1),"")</f>
        <v/>
      </c>
      <c r="I139">
        <f>IFERROR(INDEX(Action_Register!K:K,ROW()-1),"")</f>
        <v/>
      </c>
    </row>
    <row r="140">
      <c r="A140">
        <f>IFERROR(INDEX(Action_Register!A:A,ROW()-1),"")</f>
        <v/>
      </c>
      <c r="B140">
        <f>IFERROR(INDEX(Action_Register!E:E,ROW()-1),"")</f>
        <v/>
      </c>
      <c r="C140">
        <f>IFERROR(VLOOKUP(INDEX(Action_Register!F:F,ROW()-1),Action_Templates!A:H,8,FALSE),"")</f>
        <v/>
      </c>
      <c r="D140">
        <f>IFERROR(INDEX(Action_Register!AB:AB,ROW()-1),"")</f>
        <v/>
      </c>
      <c r="E140">
        <f>IFERROR(INDEX(Action_Register!J:J,ROW()-1),"")</f>
        <v/>
      </c>
      <c r="F140">
        <f>IFERROR(INDEX(Action_Register!L:L,ROW()-1),"")</f>
        <v/>
      </c>
      <c r="G140">
        <f>IFERROR(INDEX(Action_Register!N:N,ROW()-1),"")</f>
        <v/>
      </c>
      <c r="H140">
        <f>IFERROR(INDEX(Action_Register!O:O,ROW()-1),"")</f>
        <v/>
      </c>
      <c r="I140">
        <f>IFERROR(INDEX(Action_Register!K:K,ROW()-1),"")</f>
        <v/>
      </c>
    </row>
    <row r="141">
      <c r="A141">
        <f>IFERROR(INDEX(Action_Register!A:A,ROW()-1),"")</f>
        <v/>
      </c>
      <c r="B141">
        <f>IFERROR(INDEX(Action_Register!E:E,ROW()-1),"")</f>
        <v/>
      </c>
      <c r="C141">
        <f>IFERROR(VLOOKUP(INDEX(Action_Register!F:F,ROW()-1),Action_Templates!A:H,8,FALSE),"")</f>
        <v/>
      </c>
      <c r="D141">
        <f>IFERROR(INDEX(Action_Register!AB:AB,ROW()-1),"")</f>
        <v/>
      </c>
      <c r="E141">
        <f>IFERROR(INDEX(Action_Register!J:J,ROW()-1),"")</f>
        <v/>
      </c>
      <c r="F141">
        <f>IFERROR(INDEX(Action_Register!L:L,ROW()-1),"")</f>
        <v/>
      </c>
      <c r="G141">
        <f>IFERROR(INDEX(Action_Register!N:N,ROW()-1),"")</f>
        <v/>
      </c>
      <c r="H141">
        <f>IFERROR(INDEX(Action_Register!O:O,ROW()-1),"")</f>
        <v/>
      </c>
      <c r="I141">
        <f>IFERROR(INDEX(Action_Register!K:K,ROW()-1),"")</f>
        <v/>
      </c>
    </row>
    <row r="142">
      <c r="A142">
        <f>IFERROR(INDEX(Action_Register!A:A,ROW()-1),"")</f>
        <v/>
      </c>
      <c r="B142">
        <f>IFERROR(INDEX(Action_Register!E:E,ROW()-1),"")</f>
        <v/>
      </c>
      <c r="C142">
        <f>IFERROR(VLOOKUP(INDEX(Action_Register!F:F,ROW()-1),Action_Templates!A:H,8,FALSE),"")</f>
        <v/>
      </c>
      <c r="D142">
        <f>IFERROR(INDEX(Action_Register!AB:AB,ROW()-1),"")</f>
        <v/>
      </c>
      <c r="E142">
        <f>IFERROR(INDEX(Action_Register!J:J,ROW()-1),"")</f>
        <v/>
      </c>
      <c r="F142">
        <f>IFERROR(INDEX(Action_Register!L:L,ROW()-1),"")</f>
        <v/>
      </c>
      <c r="G142">
        <f>IFERROR(INDEX(Action_Register!N:N,ROW()-1),"")</f>
        <v/>
      </c>
      <c r="H142">
        <f>IFERROR(INDEX(Action_Register!O:O,ROW()-1),"")</f>
        <v/>
      </c>
      <c r="I142">
        <f>IFERROR(INDEX(Action_Register!K:K,ROW()-1),"")</f>
        <v/>
      </c>
    </row>
    <row r="143">
      <c r="A143">
        <f>IFERROR(INDEX(Action_Register!A:A,ROW()-1),"")</f>
        <v/>
      </c>
      <c r="B143">
        <f>IFERROR(INDEX(Action_Register!E:E,ROW()-1),"")</f>
        <v/>
      </c>
      <c r="C143">
        <f>IFERROR(VLOOKUP(INDEX(Action_Register!F:F,ROW()-1),Action_Templates!A:H,8,FALSE),"")</f>
        <v/>
      </c>
      <c r="D143">
        <f>IFERROR(INDEX(Action_Register!AB:AB,ROW()-1),"")</f>
        <v/>
      </c>
      <c r="E143">
        <f>IFERROR(INDEX(Action_Register!J:J,ROW()-1),"")</f>
        <v/>
      </c>
      <c r="F143">
        <f>IFERROR(INDEX(Action_Register!L:L,ROW()-1),"")</f>
        <v/>
      </c>
      <c r="G143">
        <f>IFERROR(INDEX(Action_Register!N:N,ROW()-1),"")</f>
        <v/>
      </c>
      <c r="H143">
        <f>IFERROR(INDEX(Action_Register!O:O,ROW()-1),"")</f>
        <v/>
      </c>
      <c r="I143">
        <f>IFERROR(INDEX(Action_Register!K:K,ROW()-1),"")</f>
        <v/>
      </c>
    </row>
    <row r="144">
      <c r="A144">
        <f>IFERROR(INDEX(Action_Register!A:A,ROW()-1),"")</f>
        <v/>
      </c>
      <c r="B144">
        <f>IFERROR(INDEX(Action_Register!E:E,ROW()-1),"")</f>
        <v/>
      </c>
      <c r="C144">
        <f>IFERROR(VLOOKUP(INDEX(Action_Register!F:F,ROW()-1),Action_Templates!A:H,8,FALSE),"")</f>
        <v/>
      </c>
      <c r="D144">
        <f>IFERROR(INDEX(Action_Register!AB:AB,ROW()-1),"")</f>
        <v/>
      </c>
      <c r="E144">
        <f>IFERROR(INDEX(Action_Register!J:J,ROW()-1),"")</f>
        <v/>
      </c>
      <c r="F144">
        <f>IFERROR(INDEX(Action_Register!L:L,ROW()-1),"")</f>
        <v/>
      </c>
      <c r="G144">
        <f>IFERROR(INDEX(Action_Register!N:N,ROW()-1),"")</f>
        <v/>
      </c>
      <c r="H144">
        <f>IFERROR(INDEX(Action_Register!O:O,ROW()-1),"")</f>
        <v/>
      </c>
      <c r="I144">
        <f>IFERROR(INDEX(Action_Register!K:K,ROW()-1),"")</f>
        <v/>
      </c>
    </row>
    <row r="145">
      <c r="A145">
        <f>IFERROR(INDEX(Action_Register!A:A,ROW()-1),"")</f>
        <v/>
      </c>
      <c r="B145">
        <f>IFERROR(INDEX(Action_Register!E:E,ROW()-1),"")</f>
        <v/>
      </c>
      <c r="C145">
        <f>IFERROR(VLOOKUP(INDEX(Action_Register!F:F,ROW()-1),Action_Templates!A:H,8,FALSE),"")</f>
        <v/>
      </c>
      <c r="D145">
        <f>IFERROR(INDEX(Action_Register!AB:AB,ROW()-1),"")</f>
        <v/>
      </c>
      <c r="E145">
        <f>IFERROR(INDEX(Action_Register!J:J,ROW()-1),"")</f>
        <v/>
      </c>
      <c r="F145">
        <f>IFERROR(INDEX(Action_Register!L:L,ROW()-1),"")</f>
        <v/>
      </c>
      <c r="G145">
        <f>IFERROR(INDEX(Action_Register!N:N,ROW()-1),"")</f>
        <v/>
      </c>
      <c r="H145">
        <f>IFERROR(INDEX(Action_Register!O:O,ROW()-1),"")</f>
        <v/>
      </c>
      <c r="I145">
        <f>IFERROR(INDEX(Action_Register!K:K,ROW()-1),"")</f>
        <v/>
      </c>
    </row>
    <row r="146">
      <c r="A146">
        <f>IFERROR(INDEX(Action_Register!A:A,ROW()-1),"")</f>
        <v/>
      </c>
      <c r="B146">
        <f>IFERROR(INDEX(Action_Register!E:E,ROW()-1),"")</f>
        <v/>
      </c>
      <c r="C146">
        <f>IFERROR(VLOOKUP(INDEX(Action_Register!F:F,ROW()-1),Action_Templates!A:H,8,FALSE),"")</f>
        <v/>
      </c>
      <c r="D146">
        <f>IFERROR(INDEX(Action_Register!AB:AB,ROW()-1),"")</f>
        <v/>
      </c>
      <c r="E146">
        <f>IFERROR(INDEX(Action_Register!J:J,ROW()-1),"")</f>
        <v/>
      </c>
      <c r="F146">
        <f>IFERROR(INDEX(Action_Register!L:L,ROW()-1),"")</f>
        <v/>
      </c>
      <c r="G146">
        <f>IFERROR(INDEX(Action_Register!N:N,ROW()-1),"")</f>
        <v/>
      </c>
      <c r="H146">
        <f>IFERROR(INDEX(Action_Register!O:O,ROW()-1),"")</f>
        <v/>
      </c>
      <c r="I146">
        <f>IFERROR(INDEX(Action_Register!K:K,ROW()-1),"")</f>
        <v/>
      </c>
    </row>
    <row r="147">
      <c r="A147">
        <f>IFERROR(INDEX(Action_Register!A:A,ROW()-1),"")</f>
        <v/>
      </c>
      <c r="B147">
        <f>IFERROR(INDEX(Action_Register!E:E,ROW()-1),"")</f>
        <v/>
      </c>
      <c r="C147">
        <f>IFERROR(VLOOKUP(INDEX(Action_Register!F:F,ROW()-1),Action_Templates!A:H,8,FALSE),"")</f>
        <v/>
      </c>
      <c r="D147">
        <f>IFERROR(INDEX(Action_Register!AB:AB,ROW()-1),"")</f>
        <v/>
      </c>
      <c r="E147">
        <f>IFERROR(INDEX(Action_Register!J:J,ROW()-1),"")</f>
        <v/>
      </c>
      <c r="F147">
        <f>IFERROR(INDEX(Action_Register!L:L,ROW()-1),"")</f>
        <v/>
      </c>
      <c r="G147">
        <f>IFERROR(INDEX(Action_Register!N:N,ROW()-1),"")</f>
        <v/>
      </c>
      <c r="H147">
        <f>IFERROR(INDEX(Action_Register!O:O,ROW()-1),"")</f>
        <v/>
      </c>
      <c r="I147">
        <f>IFERROR(INDEX(Action_Register!K:K,ROW()-1),"")</f>
        <v/>
      </c>
    </row>
    <row r="148">
      <c r="A148">
        <f>IFERROR(INDEX(Action_Register!A:A,ROW()-1),"")</f>
        <v/>
      </c>
      <c r="B148">
        <f>IFERROR(INDEX(Action_Register!E:E,ROW()-1),"")</f>
        <v/>
      </c>
      <c r="C148">
        <f>IFERROR(VLOOKUP(INDEX(Action_Register!F:F,ROW()-1),Action_Templates!A:H,8,FALSE),"")</f>
        <v/>
      </c>
      <c r="D148">
        <f>IFERROR(INDEX(Action_Register!AB:AB,ROW()-1),"")</f>
        <v/>
      </c>
      <c r="E148">
        <f>IFERROR(INDEX(Action_Register!J:J,ROW()-1),"")</f>
        <v/>
      </c>
      <c r="F148">
        <f>IFERROR(INDEX(Action_Register!L:L,ROW()-1),"")</f>
        <v/>
      </c>
      <c r="G148">
        <f>IFERROR(INDEX(Action_Register!N:N,ROW()-1),"")</f>
        <v/>
      </c>
      <c r="H148">
        <f>IFERROR(INDEX(Action_Register!O:O,ROW()-1),"")</f>
        <v/>
      </c>
      <c r="I148">
        <f>IFERROR(INDEX(Action_Register!K:K,ROW()-1),"")</f>
        <v/>
      </c>
    </row>
    <row r="149">
      <c r="A149">
        <f>IFERROR(INDEX(Action_Register!A:A,ROW()-1),"")</f>
        <v/>
      </c>
      <c r="B149">
        <f>IFERROR(INDEX(Action_Register!E:E,ROW()-1),"")</f>
        <v/>
      </c>
      <c r="C149">
        <f>IFERROR(VLOOKUP(INDEX(Action_Register!F:F,ROW()-1),Action_Templates!A:H,8,FALSE),"")</f>
        <v/>
      </c>
      <c r="D149">
        <f>IFERROR(INDEX(Action_Register!AB:AB,ROW()-1),"")</f>
        <v/>
      </c>
      <c r="E149">
        <f>IFERROR(INDEX(Action_Register!J:J,ROW()-1),"")</f>
        <v/>
      </c>
      <c r="F149">
        <f>IFERROR(INDEX(Action_Register!L:L,ROW()-1),"")</f>
        <v/>
      </c>
      <c r="G149">
        <f>IFERROR(INDEX(Action_Register!N:N,ROW()-1),"")</f>
        <v/>
      </c>
      <c r="H149">
        <f>IFERROR(INDEX(Action_Register!O:O,ROW()-1),"")</f>
        <v/>
      </c>
      <c r="I149">
        <f>IFERROR(INDEX(Action_Register!K:K,ROW()-1),"")</f>
        <v/>
      </c>
    </row>
    <row r="150">
      <c r="A150">
        <f>IFERROR(INDEX(Action_Register!A:A,ROW()-1),"")</f>
        <v/>
      </c>
      <c r="B150">
        <f>IFERROR(INDEX(Action_Register!E:E,ROW()-1),"")</f>
        <v/>
      </c>
      <c r="C150">
        <f>IFERROR(VLOOKUP(INDEX(Action_Register!F:F,ROW()-1),Action_Templates!A:H,8,FALSE),"")</f>
        <v/>
      </c>
      <c r="D150">
        <f>IFERROR(INDEX(Action_Register!AB:AB,ROW()-1),"")</f>
        <v/>
      </c>
      <c r="E150">
        <f>IFERROR(INDEX(Action_Register!J:J,ROW()-1),"")</f>
        <v/>
      </c>
      <c r="F150">
        <f>IFERROR(INDEX(Action_Register!L:L,ROW()-1),"")</f>
        <v/>
      </c>
      <c r="G150">
        <f>IFERROR(INDEX(Action_Register!N:N,ROW()-1),"")</f>
        <v/>
      </c>
      <c r="H150">
        <f>IFERROR(INDEX(Action_Register!O:O,ROW()-1),"")</f>
        <v/>
      </c>
      <c r="I150">
        <f>IFERROR(INDEX(Action_Register!K:K,ROW()-1),"")</f>
        <v/>
      </c>
    </row>
    <row r="151">
      <c r="A151">
        <f>IFERROR(INDEX(Action_Register!A:A,ROW()-1),"")</f>
        <v/>
      </c>
      <c r="B151">
        <f>IFERROR(INDEX(Action_Register!E:E,ROW()-1),"")</f>
        <v/>
      </c>
      <c r="C151">
        <f>IFERROR(VLOOKUP(INDEX(Action_Register!F:F,ROW()-1),Action_Templates!A:H,8,FALSE),"")</f>
        <v/>
      </c>
      <c r="D151">
        <f>IFERROR(INDEX(Action_Register!AB:AB,ROW()-1),"")</f>
        <v/>
      </c>
      <c r="E151">
        <f>IFERROR(INDEX(Action_Register!J:J,ROW()-1),"")</f>
        <v/>
      </c>
      <c r="F151">
        <f>IFERROR(INDEX(Action_Register!L:L,ROW()-1),"")</f>
        <v/>
      </c>
      <c r="G151">
        <f>IFERROR(INDEX(Action_Register!N:N,ROW()-1),"")</f>
        <v/>
      </c>
      <c r="H151">
        <f>IFERROR(INDEX(Action_Register!O:O,ROW()-1),"")</f>
        <v/>
      </c>
      <c r="I151">
        <f>IFERROR(INDEX(Action_Register!K:K,ROW()-1),"")</f>
        <v/>
      </c>
    </row>
    <row r="152">
      <c r="A152">
        <f>IFERROR(INDEX(Action_Register!A:A,ROW()-1),"")</f>
        <v/>
      </c>
      <c r="B152">
        <f>IFERROR(INDEX(Action_Register!E:E,ROW()-1),"")</f>
        <v/>
      </c>
      <c r="C152">
        <f>IFERROR(VLOOKUP(INDEX(Action_Register!F:F,ROW()-1),Action_Templates!A:H,8,FALSE),"")</f>
        <v/>
      </c>
      <c r="D152">
        <f>IFERROR(INDEX(Action_Register!AB:AB,ROW()-1),"")</f>
        <v/>
      </c>
      <c r="E152">
        <f>IFERROR(INDEX(Action_Register!J:J,ROW()-1),"")</f>
        <v/>
      </c>
      <c r="F152">
        <f>IFERROR(INDEX(Action_Register!L:L,ROW()-1),"")</f>
        <v/>
      </c>
      <c r="G152">
        <f>IFERROR(INDEX(Action_Register!N:N,ROW()-1),"")</f>
        <v/>
      </c>
      <c r="H152">
        <f>IFERROR(INDEX(Action_Register!O:O,ROW()-1),"")</f>
        <v/>
      </c>
      <c r="I152">
        <f>IFERROR(INDEX(Action_Register!K:K,ROW()-1),"")</f>
        <v/>
      </c>
    </row>
    <row r="153">
      <c r="A153">
        <f>IFERROR(INDEX(Action_Register!A:A,ROW()-1),"")</f>
        <v/>
      </c>
      <c r="B153">
        <f>IFERROR(INDEX(Action_Register!E:E,ROW()-1),"")</f>
        <v/>
      </c>
      <c r="C153">
        <f>IFERROR(VLOOKUP(INDEX(Action_Register!F:F,ROW()-1),Action_Templates!A:H,8,FALSE),"")</f>
        <v/>
      </c>
      <c r="D153">
        <f>IFERROR(INDEX(Action_Register!AB:AB,ROW()-1),"")</f>
        <v/>
      </c>
      <c r="E153">
        <f>IFERROR(INDEX(Action_Register!J:J,ROW()-1),"")</f>
        <v/>
      </c>
      <c r="F153">
        <f>IFERROR(INDEX(Action_Register!L:L,ROW()-1),"")</f>
        <v/>
      </c>
      <c r="G153">
        <f>IFERROR(INDEX(Action_Register!N:N,ROW()-1),"")</f>
        <v/>
      </c>
      <c r="H153">
        <f>IFERROR(INDEX(Action_Register!O:O,ROW()-1),"")</f>
        <v/>
      </c>
      <c r="I153">
        <f>IFERROR(INDEX(Action_Register!K:K,ROW()-1),"")</f>
        <v/>
      </c>
    </row>
    <row r="154">
      <c r="A154">
        <f>IFERROR(INDEX(Action_Register!A:A,ROW()-1),"")</f>
        <v/>
      </c>
      <c r="B154">
        <f>IFERROR(INDEX(Action_Register!E:E,ROW()-1),"")</f>
        <v/>
      </c>
      <c r="C154">
        <f>IFERROR(VLOOKUP(INDEX(Action_Register!F:F,ROW()-1),Action_Templates!A:H,8,FALSE),"")</f>
        <v/>
      </c>
      <c r="D154">
        <f>IFERROR(INDEX(Action_Register!AB:AB,ROW()-1),"")</f>
        <v/>
      </c>
      <c r="E154">
        <f>IFERROR(INDEX(Action_Register!J:J,ROW()-1),"")</f>
        <v/>
      </c>
      <c r="F154">
        <f>IFERROR(INDEX(Action_Register!L:L,ROW()-1),"")</f>
        <v/>
      </c>
      <c r="G154">
        <f>IFERROR(INDEX(Action_Register!N:N,ROW()-1),"")</f>
        <v/>
      </c>
      <c r="H154">
        <f>IFERROR(INDEX(Action_Register!O:O,ROW()-1),"")</f>
        <v/>
      </c>
      <c r="I154">
        <f>IFERROR(INDEX(Action_Register!K:K,ROW()-1),"")</f>
        <v/>
      </c>
    </row>
    <row r="155">
      <c r="A155">
        <f>IFERROR(INDEX(Action_Register!A:A,ROW()-1),"")</f>
        <v/>
      </c>
      <c r="B155">
        <f>IFERROR(INDEX(Action_Register!E:E,ROW()-1),"")</f>
        <v/>
      </c>
      <c r="C155">
        <f>IFERROR(VLOOKUP(INDEX(Action_Register!F:F,ROW()-1),Action_Templates!A:H,8,FALSE),"")</f>
        <v/>
      </c>
      <c r="D155">
        <f>IFERROR(INDEX(Action_Register!AB:AB,ROW()-1),"")</f>
        <v/>
      </c>
      <c r="E155">
        <f>IFERROR(INDEX(Action_Register!J:J,ROW()-1),"")</f>
        <v/>
      </c>
      <c r="F155">
        <f>IFERROR(INDEX(Action_Register!L:L,ROW()-1),"")</f>
        <v/>
      </c>
      <c r="G155">
        <f>IFERROR(INDEX(Action_Register!N:N,ROW()-1),"")</f>
        <v/>
      </c>
      <c r="H155">
        <f>IFERROR(INDEX(Action_Register!O:O,ROW()-1),"")</f>
        <v/>
      </c>
      <c r="I155">
        <f>IFERROR(INDEX(Action_Register!K:K,ROW()-1),"")</f>
        <v/>
      </c>
    </row>
    <row r="156">
      <c r="A156">
        <f>IFERROR(INDEX(Action_Register!A:A,ROW()-1),"")</f>
        <v/>
      </c>
      <c r="B156">
        <f>IFERROR(INDEX(Action_Register!E:E,ROW()-1),"")</f>
        <v/>
      </c>
      <c r="C156">
        <f>IFERROR(VLOOKUP(INDEX(Action_Register!F:F,ROW()-1),Action_Templates!A:H,8,FALSE),"")</f>
        <v/>
      </c>
      <c r="D156">
        <f>IFERROR(INDEX(Action_Register!AB:AB,ROW()-1),"")</f>
        <v/>
      </c>
      <c r="E156">
        <f>IFERROR(INDEX(Action_Register!J:J,ROW()-1),"")</f>
        <v/>
      </c>
      <c r="F156">
        <f>IFERROR(INDEX(Action_Register!L:L,ROW()-1),"")</f>
        <v/>
      </c>
      <c r="G156">
        <f>IFERROR(INDEX(Action_Register!N:N,ROW()-1),"")</f>
        <v/>
      </c>
      <c r="H156">
        <f>IFERROR(INDEX(Action_Register!O:O,ROW()-1),"")</f>
        <v/>
      </c>
      <c r="I156">
        <f>IFERROR(INDEX(Action_Register!K:K,ROW()-1),"")</f>
        <v/>
      </c>
    </row>
    <row r="157">
      <c r="A157">
        <f>IFERROR(INDEX(Action_Register!A:A,ROW()-1),"")</f>
        <v/>
      </c>
      <c r="B157">
        <f>IFERROR(INDEX(Action_Register!E:E,ROW()-1),"")</f>
        <v/>
      </c>
      <c r="C157">
        <f>IFERROR(VLOOKUP(INDEX(Action_Register!F:F,ROW()-1),Action_Templates!A:H,8,FALSE),"")</f>
        <v/>
      </c>
      <c r="D157">
        <f>IFERROR(INDEX(Action_Register!AB:AB,ROW()-1),"")</f>
        <v/>
      </c>
      <c r="E157">
        <f>IFERROR(INDEX(Action_Register!J:J,ROW()-1),"")</f>
        <v/>
      </c>
      <c r="F157">
        <f>IFERROR(INDEX(Action_Register!L:L,ROW()-1),"")</f>
        <v/>
      </c>
      <c r="G157">
        <f>IFERROR(INDEX(Action_Register!N:N,ROW()-1),"")</f>
        <v/>
      </c>
      <c r="H157">
        <f>IFERROR(INDEX(Action_Register!O:O,ROW()-1),"")</f>
        <v/>
      </c>
      <c r="I157">
        <f>IFERROR(INDEX(Action_Register!K:K,ROW()-1),"")</f>
        <v/>
      </c>
    </row>
    <row r="158">
      <c r="A158">
        <f>IFERROR(INDEX(Action_Register!A:A,ROW()-1),"")</f>
        <v/>
      </c>
      <c r="B158">
        <f>IFERROR(INDEX(Action_Register!E:E,ROW()-1),"")</f>
        <v/>
      </c>
      <c r="C158">
        <f>IFERROR(VLOOKUP(INDEX(Action_Register!F:F,ROW()-1),Action_Templates!A:H,8,FALSE),"")</f>
        <v/>
      </c>
      <c r="D158">
        <f>IFERROR(INDEX(Action_Register!AB:AB,ROW()-1),"")</f>
        <v/>
      </c>
      <c r="E158">
        <f>IFERROR(INDEX(Action_Register!J:J,ROW()-1),"")</f>
        <v/>
      </c>
      <c r="F158">
        <f>IFERROR(INDEX(Action_Register!L:L,ROW()-1),"")</f>
        <v/>
      </c>
      <c r="G158">
        <f>IFERROR(INDEX(Action_Register!N:N,ROW()-1),"")</f>
        <v/>
      </c>
      <c r="H158">
        <f>IFERROR(INDEX(Action_Register!O:O,ROW()-1),"")</f>
        <v/>
      </c>
      <c r="I158">
        <f>IFERROR(INDEX(Action_Register!K:K,ROW()-1),"")</f>
        <v/>
      </c>
    </row>
    <row r="159">
      <c r="A159">
        <f>IFERROR(INDEX(Action_Register!A:A,ROW()-1),"")</f>
        <v/>
      </c>
      <c r="B159">
        <f>IFERROR(INDEX(Action_Register!E:E,ROW()-1),"")</f>
        <v/>
      </c>
      <c r="C159">
        <f>IFERROR(VLOOKUP(INDEX(Action_Register!F:F,ROW()-1),Action_Templates!A:H,8,FALSE),"")</f>
        <v/>
      </c>
      <c r="D159">
        <f>IFERROR(INDEX(Action_Register!AB:AB,ROW()-1),"")</f>
        <v/>
      </c>
      <c r="E159">
        <f>IFERROR(INDEX(Action_Register!J:J,ROW()-1),"")</f>
        <v/>
      </c>
      <c r="F159">
        <f>IFERROR(INDEX(Action_Register!L:L,ROW()-1),"")</f>
        <v/>
      </c>
      <c r="G159">
        <f>IFERROR(INDEX(Action_Register!N:N,ROW()-1),"")</f>
        <v/>
      </c>
      <c r="H159">
        <f>IFERROR(INDEX(Action_Register!O:O,ROW()-1),"")</f>
        <v/>
      </c>
      <c r="I159">
        <f>IFERROR(INDEX(Action_Register!K:K,ROW()-1),"")</f>
        <v/>
      </c>
    </row>
    <row r="160">
      <c r="A160">
        <f>IFERROR(INDEX(Action_Register!A:A,ROW()-1),"")</f>
        <v/>
      </c>
      <c r="B160">
        <f>IFERROR(INDEX(Action_Register!E:E,ROW()-1),"")</f>
        <v/>
      </c>
      <c r="C160">
        <f>IFERROR(VLOOKUP(INDEX(Action_Register!F:F,ROW()-1),Action_Templates!A:H,8,FALSE),"")</f>
        <v/>
      </c>
      <c r="D160">
        <f>IFERROR(INDEX(Action_Register!AB:AB,ROW()-1),"")</f>
        <v/>
      </c>
      <c r="E160">
        <f>IFERROR(INDEX(Action_Register!J:J,ROW()-1),"")</f>
        <v/>
      </c>
      <c r="F160">
        <f>IFERROR(INDEX(Action_Register!L:L,ROW()-1),"")</f>
        <v/>
      </c>
      <c r="G160">
        <f>IFERROR(INDEX(Action_Register!N:N,ROW()-1),"")</f>
        <v/>
      </c>
      <c r="H160">
        <f>IFERROR(INDEX(Action_Register!O:O,ROW()-1),"")</f>
        <v/>
      </c>
      <c r="I160">
        <f>IFERROR(INDEX(Action_Register!K:K,ROW()-1),"")</f>
        <v/>
      </c>
    </row>
    <row r="161">
      <c r="A161">
        <f>IFERROR(INDEX(Action_Register!A:A,ROW()-1),"")</f>
        <v/>
      </c>
      <c r="B161">
        <f>IFERROR(INDEX(Action_Register!E:E,ROW()-1),"")</f>
        <v/>
      </c>
      <c r="C161">
        <f>IFERROR(VLOOKUP(INDEX(Action_Register!F:F,ROW()-1),Action_Templates!A:H,8,FALSE),"")</f>
        <v/>
      </c>
      <c r="D161">
        <f>IFERROR(INDEX(Action_Register!AB:AB,ROW()-1),"")</f>
        <v/>
      </c>
      <c r="E161">
        <f>IFERROR(INDEX(Action_Register!J:J,ROW()-1),"")</f>
        <v/>
      </c>
      <c r="F161">
        <f>IFERROR(INDEX(Action_Register!L:L,ROW()-1),"")</f>
        <v/>
      </c>
      <c r="G161">
        <f>IFERROR(INDEX(Action_Register!N:N,ROW()-1),"")</f>
        <v/>
      </c>
      <c r="H161">
        <f>IFERROR(INDEX(Action_Register!O:O,ROW()-1),"")</f>
        <v/>
      </c>
      <c r="I161">
        <f>IFERROR(INDEX(Action_Register!K:K,ROW()-1),"")</f>
        <v/>
      </c>
    </row>
    <row r="162">
      <c r="A162">
        <f>IFERROR(INDEX(Action_Register!A:A,ROW()-1),"")</f>
        <v/>
      </c>
      <c r="B162">
        <f>IFERROR(INDEX(Action_Register!E:E,ROW()-1),"")</f>
        <v/>
      </c>
      <c r="C162">
        <f>IFERROR(VLOOKUP(INDEX(Action_Register!F:F,ROW()-1),Action_Templates!A:H,8,FALSE),"")</f>
        <v/>
      </c>
      <c r="D162">
        <f>IFERROR(INDEX(Action_Register!AB:AB,ROW()-1),"")</f>
        <v/>
      </c>
      <c r="E162">
        <f>IFERROR(INDEX(Action_Register!J:J,ROW()-1),"")</f>
        <v/>
      </c>
      <c r="F162">
        <f>IFERROR(INDEX(Action_Register!L:L,ROW()-1),"")</f>
        <v/>
      </c>
      <c r="G162">
        <f>IFERROR(INDEX(Action_Register!N:N,ROW()-1),"")</f>
        <v/>
      </c>
      <c r="H162">
        <f>IFERROR(INDEX(Action_Register!O:O,ROW()-1),"")</f>
        <v/>
      </c>
      <c r="I162">
        <f>IFERROR(INDEX(Action_Register!K:K,ROW()-1),"")</f>
        <v/>
      </c>
    </row>
    <row r="163">
      <c r="A163">
        <f>IFERROR(INDEX(Action_Register!A:A,ROW()-1),"")</f>
        <v/>
      </c>
      <c r="B163">
        <f>IFERROR(INDEX(Action_Register!E:E,ROW()-1),"")</f>
        <v/>
      </c>
      <c r="C163">
        <f>IFERROR(VLOOKUP(INDEX(Action_Register!F:F,ROW()-1),Action_Templates!A:H,8,FALSE),"")</f>
        <v/>
      </c>
      <c r="D163">
        <f>IFERROR(INDEX(Action_Register!AB:AB,ROW()-1),"")</f>
        <v/>
      </c>
      <c r="E163">
        <f>IFERROR(INDEX(Action_Register!J:J,ROW()-1),"")</f>
        <v/>
      </c>
      <c r="F163">
        <f>IFERROR(INDEX(Action_Register!L:L,ROW()-1),"")</f>
        <v/>
      </c>
      <c r="G163">
        <f>IFERROR(INDEX(Action_Register!N:N,ROW()-1),"")</f>
        <v/>
      </c>
      <c r="H163">
        <f>IFERROR(INDEX(Action_Register!O:O,ROW()-1),"")</f>
        <v/>
      </c>
      <c r="I163">
        <f>IFERROR(INDEX(Action_Register!K:K,ROW()-1),"")</f>
        <v/>
      </c>
    </row>
    <row r="164">
      <c r="A164">
        <f>IFERROR(INDEX(Action_Register!A:A,ROW()-1),"")</f>
        <v/>
      </c>
      <c r="B164">
        <f>IFERROR(INDEX(Action_Register!E:E,ROW()-1),"")</f>
        <v/>
      </c>
      <c r="C164">
        <f>IFERROR(VLOOKUP(INDEX(Action_Register!F:F,ROW()-1),Action_Templates!A:H,8,FALSE),"")</f>
        <v/>
      </c>
      <c r="D164">
        <f>IFERROR(INDEX(Action_Register!AB:AB,ROW()-1),"")</f>
        <v/>
      </c>
      <c r="E164">
        <f>IFERROR(INDEX(Action_Register!J:J,ROW()-1),"")</f>
        <v/>
      </c>
      <c r="F164">
        <f>IFERROR(INDEX(Action_Register!L:L,ROW()-1),"")</f>
        <v/>
      </c>
      <c r="G164">
        <f>IFERROR(INDEX(Action_Register!N:N,ROW()-1),"")</f>
        <v/>
      </c>
      <c r="H164">
        <f>IFERROR(INDEX(Action_Register!O:O,ROW()-1),"")</f>
        <v/>
      </c>
      <c r="I164">
        <f>IFERROR(INDEX(Action_Register!K:K,ROW()-1),"")</f>
        <v/>
      </c>
    </row>
    <row r="165">
      <c r="A165">
        <f>IFERROR(INDEX(Action_Register!A:A,ROW()-1),"")</f>
        <v/>
      </c>
      <c r="B165">
        <f>IFERROR(INDEX(Action_Register!E:E,ROW()-1),"")</f>
        <v/>
      </c>
      <c r="C165">
        <f>IFERROR(VLOOKUP(INDEX(Action_Register!F:F,ROW()-1),Action_Templates!A:H,8,FALSE),"")</f>
        <v/>
      </c>
      <c r="D165">
        <f>IFERROR(INDEX(Action_Register!AB:AB,ROW()-1),"")</f>
        <v/>
      </c>
      <c r="E165">
        <f>IFERROR(INDEX(Action_Register!J:J,ROW()-1),"")</f>
        <v/>
      </c>
      <c r="F165">
        <f>IFERROR(INDEX(Action_Register!L:L,ROW()-1),"")</f>
        <v/>
      </c>
      <c r="G165">
        <f>IFERROR(INDEX(Action_Register!N:N,ROW()-1),"")</f>
        <v/>
      </c>
      <c r="H165">
        <f>IFERROR(INDEX(Action_Register!O:O,ROW()-1),"")</f>
        <v/>
      </c>
      <c r="I165">
        <f>IFERROR(INDEX(Action_Register!K:K,ROW()-1),"")</f>
        <v/>
      </c>
    </row>
    <row r="166">
      <c r="A166">
        <f>IFERROR(INDEX(Action_Register!A:A,ROW()-1),"")</f>
        <v/>
      </c>
      <c r="B166">
        <f>IFERROR(INDEX(Action_Register!E:E,ROW()-1),"")</f>
        <v/>
      </c>
      <c r="C166">
        <f>IFERROR(VLOOKUP(INDEX(Action_Register!F:F,ROW()-1),Action_Templates!A:H,8,FALSE),"")</f>
        <v/>
      </c>
      <c r="D166">
        <f>IFERROR(INDEX(Action_Register!AB:AB,ROW()-1),"")</f>
        <v/>
      </c>
      <c r="E166">
        <f>IFERROR(INDEX(Action_Register!J:J,ROW()-1),"")</f>
        <v/>
      </c>
      <c r="F166">
        <f>IFERROR(INDEX(Action_Register!L:L,ROW()-1),"")</f>
        <v/>
      </c>
      <c r="G166">
        <f>IFERROR(INDEX(Action_Register!N:N,ROW()-1),"")</f>
        <v/>
      </c>
      <c r="H166">
        <f>IFERROR(INDEX(Action_Register!O:O,ROW()-1),"")</f>
        <v/>
      </c>
      <c r="I166">
        <f>IFERROR(INDEX(Action_Register!K:K,ROW()-1),"")</f>
        <v/>
      </c>
    </row>
    <row r="167">
      <c r="A167">
        <f>IFERROR(INDEX(Action_Register!A:A,ROW()-1),"")</f>
        <v/>
      </c>
      <c r="B167">
        <f>IFERROR(INDEX(Action_Register!E:E,ROW()-1),"")</f>
        <v/>
      </c>
      <c r="C167">
        <f>IFERROR(VLOOKUP(INDEX(Action_Register!F:F,ROW()-1),Action_Templates!A:H,8,FALSE),"")</f>
        <v/>
      </c>
      <c r="D167">
        <f>IFERROR(INDEX(Action_Register!AB:AB,ROW()-1),"")</f>
        <v/>
      </c>
      <c r="E167">
        <f>IFERROR(INDEX(Action_Register!J:J,ROW()-1),"")</f>
        <v/>
      </c>
      <c r="F167">
        <f>IFERROR(INDEX(Action_Register!L:L,ROW()-1),"")</f>
        <v/>
      </c>
      <c r="G167">
        <f>IFERROR(INDEX(Action_Register!N:N,ROW()-1),"")</f>
        <v/>
      </c>
      <c r="H167">
        <f>IFERROR(INDEX(Action_Register!O:O,ROW()-1),"")</f>
        <v/>
      </c>
      <c r="I167">
        <f>IFERROR(INDEX(Action_Register!K:K,ROW()-1),"")</f>
        <v/>
      </c>
    </row>
    <row r="168">
      <c r="A168">
        <f>IFERROR(INDEX(Action_Register!A:A,ROW()-1),"")</f>
        <v/>
      </c>
      <c r="B168">
        <f>IFERROR(INDEX(Action_Register!E:E,ROW()-1),"")</f>
        <v/>
      </c>
      <c r="C168">
        <f>IFERROR(VLOOKUP(INDEX(Action_Register!F:F,ROW()-1),Action_Templates!A:H,8,FALSE),"")</f>
        <v/>
      </c>
      <c r="D168">
        <f>IFERROR(INDEX(Action_Register!AB:AB,ROW()-1),"")</f>
        <v/>
      </c>
      <c r="E168">
        <f>IFERROR(INDEX(Action_Register!J:J,ROW()-1),"")</f>
        <v/>
      </c>
      <c r="F168">
        <f>IFERROR(INDEX(Action_Register!L:L,ROW()-1),"")</f>
        <v/>
      </c>
      <c r="G168">
        <f>IFERROR(INDEX(Action_Register!N:N,ROW()-1),"")</f>
        <v/>
      </c>
      <c r="H168">
        <f>IFERROR(INDEX(Action_Register!O:O,ROW()-1),"")</f>
        <v/>
      </c>
      <c r="I168">
        <f>IFERROR(INDEX(Action_Register!K:K,ROW()-1),"")</f>
        <v/>
      </c>
    </row>
    <row r="169">
      <c r="A169">
        <f>IFERROR(INDEX(Action_Register!A:A,ROW()-1),"")</f>
        <v/>
      </c>
      <c r="B169">
        <f>IFERROR(INDEX(Action_Register!E:E,ROW()-1),"")</f>
        <v/>
      </c>
      <c r="C169">
        <f>IFERROR(VLOOKUP(INDEX(Action_Register!F:F,ROW()-1),Action_Templates!A:H,8,FALSE),"")</f>
        <v/>
      </c>
      <c r="D169">
        <f>IFERROR(INDEX(Action_Register!AB:AB,ROW()-1),"")</f>
        <v/>
      </c>
      <c r="E169">
        <f>IFERROR(INDEX(Action_Register!J:J,ROW()-1),"")</f>
        <v/>
      </c>
      <c r="F169">
        <f>IFERROR(INDEX(Action_Register!L:L,ROW()-1),"")</f>
        <v/>
      </c>
      <c r="G169">
        <f>IFERROR(INDEX(Action_Register!N:N,ROW()-1),"")</f>
        <v/>
      </c>
      <c r="H169">
        <f>IFERROR(INDEX(Action_Register!O:O,ROW()-1),"")</f>
        <v/>
      </c>
      <c r="I169">
        <f>IFERROR(INDEX(Action_Register!K:K,ROW()-1),"")</f>
        <v/>
      </c>
    </row>
    <row r="170">
      <c r="A170">
        <f>IFERROR(INDEX(Action_Register!A:A,ROW()-1),"")</f>
        <v/>
      </c>
      <c r="B170">
        <f>IFERROR(INDEX(Action_Register!E:E,ROW()-1),"")</f>
        <v/>
      </c>
      <c r="C170">
        <f>IFERROR(VLOOKUP(INDEX(Action_Register!F:F,ROW()-1),Action_Templates!A:H,8,FALSE),"")</f>
        <v/>
      </c>
      <c r="D170">
        <f>IFERROR(INDEX(Action_Register!AB:AB,ROW()-1),"")</f>
        <v/>
      </c>
      <c r="E170">
        <f>IFERROR(INDEX(Action_Register!J:J,ROW()-1),"")</f>
        <v/>
      </c>
      <c r="F170">
        <f>IFERROR(INDEX(Action_Register!L:L,ROW()-1),"")</f>
        <v/>
      </c>
      <c r="G170">
        <f>IFERROR(INDEX(Action_Register!N:N,ROW()-1),"")</f>
        <v/>
      </c>
      <c r="H170">
        <f>IFERROR(INDEX(Action_Register!O:O,ROW()-1),"")</f>
        <v/>
      </c>
      <c r="I170">
        <f>IFERROR(INDEX(Action_Register!K:K,ROW()-1),"")</f>
        <v/>
      </c>
    </row>
    <row r="171">
      <c r="A171">
        <f>IFERROR(INDEX(Action_Register!A:A,ROW()-1),"")</f>
        <v/>
      </c>
      <c r="B171">
        <f>IFERROR(INDEX(Action_Register!E:E,ROW()-1),"")</f>
        <v/>
      </c>
      <c r="C171">
        <f>IFERROR(VLOOKUP(INDEX(Action_Register!F:F,ROW()-1),Action_Templates!A:H,8,FALSE),"")</f>
        <v/>
      </c>
      <c r="D171">
        <f>IFERROR(INDEX(Action_Register!AB:AB,ROW()-1),"")</f>
        <v/>
      </c>
      <c r="E171">
        <f>IFERROR(INDEX(Action_Register!J:J,ROW()-1),"")</f>
        <v/>
      </c>
      <c r="F171">
        <f>IFERROR(INDEX(Action_Register!L:L,ROW()-1),"")</f>
        <v/>
      </c>
      <c r="G171">
        <f>IFERROR(INDEX(Action_Register!N:N,ROW()-1),"")</f>
        <v/>
      </c>
      <c r="H171">
        <f>IFERROR(INDEX(Action_Register!O:O,ROW()-1),"")</f>
        <v/>
      </c>
      <c r="I171">
        <f>IFERROR(INDEX(Action_Register!K:K,ROW()-1),"")</f>
        <v/>
      </c>
    </row>
    <row r="172">
      <c r="A172">
        <f>IFERROR(INDEX(Action_Register!A:A,ROW()-1),"")</f>
        <v/>
      </c>
      <c r="B172">
        <f>IFERROR(INDEX(Action_Register!E:E,ROW()-1),"")</f>
        <v/>
      </c>
      <c r="C172">
        <f>IFERROR(VLOOKUP(INDEX(Action_Register!F:F,ROW()-1),Action_Templates!A:H,8,FALSE),"")</f>
        <v/>
      </c>
      <c r="D172">
        <f>IFERROR(INDEX(Action_Register!AB:AB,ROW()-1),"")</f>
        <v/>
      </c>
      <c r="E172">
        <f>IFERROR(INDEX(Action_Register!J:J,ROW()-1),"")</f>
        <v/>
      </c>
      <c r="F172">
        <f>IFERROR(INDEX(Action_Register!L:L,ROW()-1),"")</f>
        <v/>
      </c>
      <c r="G172">
        <f>IFERROR(INDEX(Action_Register!N:N,ROW()-1),"")</f>
        <v/>
      </c>
      <c r="H172">
        <f>IFERROR(INDEX(Action_Register!O:O,ROW()-1),"")</f>
        <v/>
      </c>
      <c r="I172">
        <f>IFERROR(INDEX(Action_Register!K:K,ROW()-1),"")</f>
        <v/>
      </c>
    </row>
    <row r="173">
      <c r="A173">
        <f>IFERROR(INDEX(Action_Register!A:A,ROW()-1),"")</f>
        <v/>
      </c>
      <c r="B173">
        <f>IFERROR(INDEX(Action_Register!E:E,ROW()-1),"")</f>
        <v/>
      </c>
      <c r="C173">
        <f>IFERROR(VLOOKUP(INDEX(Action_Register!F:F,ROW()-1),Action_Templates!A:H,8,FALSE),"")</f>
        <v/>
      </c>
      <c r="D173">
        <f>IFERROR(INDEX(Action_Register!AB:AB,ROW()-1),"")</f>
        <v/>
      </c>
      <c r="E173">
        <f>IFERROR(INDEX(Action_Register!J:J,ROW()-1),"")</f>
        <v/>
      </c>
      <c r="F173">
        <f>IFERROR(INDEX(Action_Register!L:L,ROW()-1),"")</f>
        <v/>
      </c>
      <c r="G173">
        <f>IFERROR(INDEX(Action_Register!N:N,ROW()-1),"")</f>
        <v/>
      </c>
      <c r="H173">
        <f>IFERROR(INDEX(Action_Register!O:O,ROW()-1),"")</f>
        <v/>
      </c>
      <c r="I173">
        <f>IFERROR(INDEX(Action_Register!K:K,ROW()-1),"")</f>
        <v/>
      </c>
    </row>
    <row r="174">
      <c r="A174">
        <f>IFERROR(INDEX(Action_Register!A:A,ROW()-1),"")</f>
        <v/>
      </c>
      <c r="B174">
        <f>IFERROR(INDEX(Action_Register!E:E,ROW()-1),"")</f>
        <v/>
      </c>
      <c r="C174">
        <f>IFERROR(VLOOKUP(INDEX(Action_Register!F:F,ROW()-1),Action_Templates!A:H,8,FALSE),"")</f>
        <v/>
      </c>
      <c r="D174">
        <f>IFERROR(INDEX(Action_Register!AB:AB,ROW()-1),"")</f>
        <v/>
      </c>
      <c r="E174">
        <f>IFERROR(INDEX(Action_Register!J:J,ROW()-1),"")</f>
        <v/>
      </c>
      <c r="F174">
        <f>IFERROR(INDEX(Action_Register!L:L,ROW()-1),"")</f>
        <v/>
      </c>
      <c r="G174">
        <f>IFERROR(INDEX(Action_Register!N:N,ROW()-1),"")</f>
        <v/>
      </c>
      <c r="H174">
        <f>IFERROR(INDEX(Action_Register!O:O,ROW()-1),"")</f>
        <v/>
      </c>
      <c r="I174">
        <f>IFERROR(INDEX(Action_Register!K:K,ROW()-1),"")</f>
        <v/>
      </c>
    </row>
    <row r="175">
      <c r="A175">
        <f>IFERROR(INDEX(Action_Register!A:A,ROW()-1),"")</f>
        <v/>
      </c>
      <c r="B175">
        <f>IFERROR(INDEX(Action_Register!E:E,ROW()-1),"")</f>
        <v/>
      </c>
      <c r="C175">
        <f>IFERROR(VLOOKUP(INDEX(Action_Register!F:F,ROW()-1),Action_Templates!A:H,8,FALSE),"")</f>
        <v/>
      </c>
      <c r="D175">
        <f>IFERROR(INDEX(Action_Register!AB:AB,ROW()-1),"")</f>
        <v/>
      </c>
      <c r="E175">
        <f>IFERROR(INDEX(Action_Register!J:J,ROW()-1),"")</f>
        <v/>
      </c>
      <c r="F175">
        <f>IFERROR(INDEX(Action_Register!L:L,ROW()-1),"")</f>
        <v/>
      </c>
      <c r="G175">
        <f>IFERROR(INDEX(Action_Register!N:N,ROW()-1),"")</f>
        <v/>
      </c>
      <c r="H175">
        <f>IFERROR(INDEX(Action_Register!O:O,ROW()-1),"")</f>
        <v/>
      </c>
      <c r="I175">
        <f>IFERROR(INDEX(Action_Register!K:K,ROW()-1),"")</f>
        <v/>
      </c>
    </row>
    <row r="176">
      <c r="A176">
        <f>IFERROR(INDEX(Action_Register!A:A,ROW()-1),"")</f>
        <v/>
      </c>
      <c r="B176">
        <f>IFERROR(INDEX(Action_Register!E:E,ROW()-1),"")</f>
        <v/>
      </c>
      <c r="C176">
        <f>IFERROR(VLOOKUP(INDEX(Action_Register!F:F,ROW()-1),Action_Templates!A:H,8,FALSE),"")</f>
        <v/>
      </c>
      <c r="D176">
        <f>IFERROR(INDEX(Action_Register!AB:AB,ROW()-1),"")</f>
        <v/>
      </c>
      <c r="E176">
        <f>IFERROR(INDEX(Action_Register!J:J,ROW()-1),"")</f>
        <v/>
      </c>
      <c r="F176">
        <f>IFERROR(INDEX(Action_Register!L:L,ROW()-1),"")</f>
        <v/>
      </c>
      <c r="G176">
        <f>IFERROR(INDEX(Action_Register!N:N,ROW()-1),"")</f>
        <v/>
      </c>
      <c r="H176">
        <f>IFERROR(INDEX(Action_Register!O:O,ROW()-1),"")</f>
        <v/>
      </c>
      <c r="I176">
        <f>IFERROR(INDEX(Action_Register!K:K,ROW()-1),"")</f>
        <v/>
      </c>
    </row>
    <row r="177">
      <c r="A177">
        <f>IFERROR(INDEX(Action_Register!A:A,ROW()-1),"")</f>
        <v/>
      </c>
      <c r="B177">
        <f>IFERROR(INDEX(Action_Register!E:E,ROW()-1),"")</f>
        <v/>
      </c>
      <c r="C177">
        <f>IFERROR(VLOOKUP(INDEX(Action_Register!F:F,ROW()-1),Action_Templates!A:H,8,FALSE),"")</f>
        <v/>
      </c>
      <c r="D177">
        <f>IFERROR(INDEX(Action_Register!AB:AB,ROW()-1),"")</f>
        <v/>
      </c>
      <c r="E177">
        <f>IFERROR(INDEX(Action_Register!J:J,ROW()-1),"")</f>
        <v/>
      </c>
      <c r="F177">
        <f>IFERROR(INDEX(Action_Register!L:L,ROW()-1),"")</f>
        <v/>
      </c>
      <c r="G177">
        <f>IFERROR(INDEX(Action_Register!N:N,ROW()-1),"")</f>
        <v/>
      </c>
      <c r="H177">
        <f>IFERROR(INDEX(Action_Register!O:O,ROW()-1),"")</f>
        <v/>
      </c>
      <c r="I177">
        <f>IFERROR(INDEX(Action_Register!K:K,ROW()-1),"")</f>
        <v/>
      </c>
    </row>
    <row r="178">
      <c r="A178">
        <f>IFERROR(INDEX(Action_Register!A:A,ROW()-1),"")</f>
        <v/>
      </c>
      <c r="B178">
        <f>IFERROR(INDEX(Action_Register!E:E,ROW()-1),"")</f>
        <v/>
      </c>
      <c r="C178">
        <f>IFERROR(VLOOKUP(INDEX(Action_Register!F:F,ROW()-1),Action_Templates!A:H,8,FALSE),"")</f>
        <v/>
      </c>
      <c r="D178">
        <f>IFERROR(INDEX(Action_Register!AB:AB,ROW()-1),"")</f>
        <v/>
      </c>
      <c r="E178">
        <f>IFERROR(INDEX(Action_Register!J:J,ROW()-1),"")</f>
        <v/>
      </c>
      <c r="F178">
        <f>IFERROR(INDEX(Action_Register!L:L,ROW()-1),"")</f>
        <v/>
      </c>
      <c r="G178">
        <f>IFERROR(INDEX(Action_Register!N:N,ROW()-1),"")</f>
        <v/>
      </c>
      <c r="H178">
        <f>IFERROR(INDEX(Action_Register!O:O,ROW()-1),"")</f>
        <v/>
      </c>
      <c r="I178">
        <f>IFERROR(INDEX(Action_Register!K:K,ROW()-1),"")</f>
        <v/>
      </c>
    </row>
    <row r="179">
      <c r="A179">
        <f>IFERROR(INDEX(Action_Register!A:A,ROW()-1),"")</f>
        <v/>
      </c>
      <c r="B179">
        <f>IFERROR(INDEX(Action_Register!E:E,ROW()-1),"")</f>
        <v/>
      </c>
      <c r="C179">
        <f>IFERROR(VLOOKUP(INDEX(Action_Register!F:F,ROW()-1),Action_Templates!A:H,8,FALSE),"")</f>
        <v/>
      </c>
      <c r="D179">
        <f>IFERROR(INDEX(Action_Register!AB:AB,ROW()-1),"")</f>
        <v/>
      </c>
      <c r="E179">
        <f>IFERROR(INDEX(Action_Register!J:J,ROW()-1),"")</f>
        <v/>
      </c>
      <c r="F179">
        <f>IFERROR(INDEX(Action_Register!L:L,ROW()-1),"")</f>
        <v/>
      </c>
      <c r="G179">
        <f>IFERROR(INDEX(Action_Register!N:N,ROW()-1),"")</f>
        <v/>
      </c>
      <c r="H179">
        <f>IFERROR(INDEX(Action_Register!O:O,ROW()-1),"")</f>
        <v/>
      </c>
      <c r="I179">
        <f>IFERROR(INDEX(Action_Register!K:K,ROW()-1),"")</f>
        <v/>
      </c>
    </row>
    <row r="180">
      <c r="A180">
        <f>IFERROR(INDEX(Action_Register!A:A,ROW()-1),"")</f>
        <v/>
      </c>
      <c r="B180">
        <f>IFERROR(INDEX(Action_Register!E:E,ROW()-1),"")</f>
        <v/>
      </c>
      <c r="C180">
        <f>IFERROR(VLOOKUP(INDEX(Action_Register!F:F,ROW()-1),Action_Templates!A:H,8,FALSE),"")</f>
        <v/>
      </c>
      <c r="D180">
        <f>IFERROR(INDEX(Action_Register!AB:AB,ROW()-1),"")</f>
        <v/>
      </c>
      <c r="E180">
        <f>IFERROR(INDEX(Action_Register!J:J,ROW()-1),"")</f>
        <v/>
      </c>
      <c r="F180">
        <f>IFERROR(INDEX(Action_Register!L:L,ROW()-1),"")</f>
        <v/>
      </c>
      <c r="G180">
        <f>IFERROR(INDEX(Action_Register!N:N,ROW()-1),"")</f>
        <v/>
      </c>
      <c r="H180">
        <f>IFERROR(INDEX(Action_Register!O:O,ROW()-1),"")</f>
        <v/>
      </c>
      <c r="I180">
        <f>IFERROR(INDEX(Action_Register!K:K,ROW()-1),"")</f>
        <v/>
      </c>
    </row>
    <row r="181">
      <c r="A181">
        <f>IFERROR(INDEX(Action_Register!A:A,ROW()-1),"")</f>
        <v/>
      </c>
      <c r="B181">
        <f>IFERROR(INDEX(Action_Register!E:E,ROW()-1),"")</f>
        <v/>
      </c>
      <c r="C181">
        <f>IFERROR(VLOOKUP(INDEX(Action_Register!F:F,ROW()-1),Action_Templates!A:H,8,FALSE),"")</f>
        <v/>
      </c>
      <c r="D181">
        <f>IFERROR(INDEX(Action_Register!AB:AB,ROW()-1),"")</f>
        <v/>
      </c>
      <c r="E181">
        <f>IFERROR(INDEX(Action_Register!J:J,ROW()-1),"")</f>
        <v/>
      </c>
      <c r="F181">
        <f>IFERROR(INDEX(Action_Register!L:L,ROW()-1),"")</f>
        <v/>
      </c>
      <c r="G181">
        <f>IFERROR(INDEX(Action_Register!N:N,ROW()-1),"")</f>
        <v/>
      </c>
      <c r="H181">
        <f>IFERROR(INDEX(Action_Register!O:O,ROW()-1),"")</f>
        <v/>
      </c>
      <c r="I181">
        <f>IFERROR(INDEX(Action_Register!K:K,ROW()-1),"")</f>
        <v/>
      </c>
    </row>
    <row r="182">
      <c r="A182">
        <f>IFERROR(INDEX(Action_Register!A:A,ROW()-1),"")</f>
        <v/>
      </c>
      <c r="B182">
        <f>IFERROR(INDEX(Action_Register!E:E,ROW()-1),"")</f>
        <v/>
      </c>
      <c r="C182">
        <f>IFERROR(VLOOKUP(INDEX(Action_Register!F:F,ROW()-1),Action_Templates!A:H,8,FALSE),"")</f>
        <v/>
      </c>
      <c r="D182">
        <f>IFERROR(INDEX(Action_Register!AB:AB,ROW()-1),"")</f>
        <v/>
      </c>
      <c r="E182">
        <f>IFERROR(INDEX(Action_Register!J:J,ROW()-1),"")</f>
        <v/>
      </c>
      <c r="F182">
        <f>IFERROR(INDEX(Action_Register!L:L,ROW()-1),"")</f>
        <v/>
      </c>
      <c r="G182">
        <f>IFERROR(INDEX(Action_Register!N:N,ROW()-1),"")</f>
        <v/>
      </c>
      <c r="H182">
        <f>IFERROR(INDEX(Action_Register!O:O,ROW()-1),"")</f>
        <v/>
      </c>
      <c r="I182">
        <f>IFERROR(INDEX(Action_Register!K:K,ROW()-1),"")</f>
        <v/>
      </c>
    </row>
    <row r="183">
      <c r="A183">
        <f>IFERROR(INDEX(Action_Register!A:A,ROW()-1),"")</f>
        <v/>
      </c>
      <c r="B183">
        <f>IFERROR(INDEX(Action_Register!E:E,ROW()-1),"")</f>
        <v/>
      </c>
      <c r="C183">
        <f>IFERROR(VLOOKUP(INDEX(Action_Register!F:F,ROW()-1),Action_Templates!A:H,8,FALSE),"")</f>
        <v/>
      </c>
      <c r="D183">
        <f>IFERROR(INDEX(Action_Register!AB:AB,ROW()-1),"")</f>
        <v/>
      </c>
      <c r="E183">
        <f>IFERROR(INDEX(Action_Register!J:J,ROW()-1),"")</f>
        <v/>
      </c>
      <c r="F183">
        <f>IFERROR(INDEX(Action_Register!L:L,ROW()-1),"")</f>
        <v/>
      </c>
      <c r="G183">
        <f>IFERROR(INDEX(Action_Register!N:N,ROW()-1),"")</f>
        <v/>
      </c>
      <c r="H183">
        <f>IFERROR(INDEX(Action_Register!O:O,ROW()-1),"")</f>
        <v/>
      </c>
      <c r="I183">
        <f>IFERROR(INDEX(Action_Register!K:K,ROW()-1),"")</f>
        <v/>
      </c>
    </row>
    <row r="184">
      <c r="A184">
        <f>IFERROR(INDEX(Action_Register!A:A,ROW()-1),"")</f>
        <v/>
      </c>
      <c r="B184">
        <f>IFERROR(INDEX(Action_Register!E:E,ROW()-1),"")</f>
        <v/>
      </c>
      <c r="C184">
        <f>IFERROR(VLOOKUP(INDEX(Action_Register!F:F,ROW()-1),Action_Templates!A:H,8,FALSE),"")</f>
        <v/>
      </c>
      <c r="D184">
        <f>IFERROR(INDEX(Action_Register!AB:AB,ROW()-1),"")</f>
        <v/>
      </c>
      <c r="E184">
        <f>IFERROR(INDEX(Action_Register!J:J,ROW()-1),"")</f>
        <v/>
      </c>
      <c r="F184">
        <f>IFERROR(INDEX(Action_Register!L:L,ROW()-1),"")</f>
        <v/>
      </c>
      <c r="G184">
        <f>IFERROR(INDEX(Action_Register!N:N,ROW()-1),"")</f>
        <v/>
      </c>
      <c r="H184">
        <f>IFERROR(INDEX(Action_Register!O:O,ROW()-1),"")</f>
        <v/>
      </c>
      <c r="I184">
        <f>IFERROR(INDEX(Action_Register!K:K,ROW()-1),"")</f>
        <v/>
      </c>
    </row>
    <row r="185">
      <c r="A185">
        <f>IFERROR(INDEX(Action_Register!A:A,ROW()-1),"")</f>
        <v/>
      </c>
      <c r="B185">
        <f>IFERROR(INDEX(Action_Register!E:E,ROW()-1),"")</f>
        <v/>
      </c>
      <c r="C185">
        <f>IFERROR(VLOOKUP(INDEX(Action_Register!F:F,ROW()-1),Action_Templates!A:H,8,FALSE),"")</f>
        <v/>
      </c>
      <c r="D185">
        <f>IFERROR(INDEX(Action_Register!AB:AB,ROW()-1),"")</f>
        <v/>
      </c>
      <c r="E185">
        <f>IFERROR(INDEX(Action_Register!J:J,ROW()-1),"")</f>
        <v/>
      </c>
      <c r="F185">
        <f>IFERROR(INDEX(Action_Register!L:L,ROW()-1),"")</f>
        <v/>
      </c>
      <c r="G185">
        <f>IFERROR(INDEX(Action_Register!N:N,ROW()-1),"")</f>
        <v/>
      </c>
      <c r="H185">
        <f>IFERROR(INDEX(Action_Register!O:O,ROW()-1),"")</f>
        <v/>
      </c>
      <c r="I185">
        <f>IFERROR(INDEX(Action_Register!K:K,ROW()-1),"")</f>
        <v/>
      </c>
    </row>
    <row r="186">
      <c r="A186">
        <f>IFERROR(INDEX(Action_Register!A:A,ROW()-1),"")</f>
        <v/>
      </c>
      <c r="B186">
        <f>IFERROR(INDEX(Action_Register!E:E,ROW()-1),"")</f>
        <v/>
      </c>
      <c r="C186">
        <f>IFERROR(VLOOKUP(INDEX(Action_Register!F:F,ROW()-1),Action_Templates!A:H,8,FALSE),"")</f>
        <v/>
      </c>
      <c r="D186">
        <f>IFERROR(INDEX(Action_Register!AB:AB,ROW()-1),"")</f>
        <v/>
      </c>
      <c r="E186">
        <f>IFERROR(INDEX(Action_Register!J:J,ROW()-1),"")</f>
        <v/>
      </c>
      <c r="F186">
        <f>IFERROR(INDEX(Action_Register!L:L,ROW()-1),"")</f>
        <v/>
      </c>
      <c r="G186">
        <f>IFERROR(INDEX(Action_Register!N:N,ROW()-1),"")</f>
        <v/>
      </c>
      <c r="H186">
        <f>IFERROR(INDEX(Action_Register!O:O,ROW()-1),"")</f>
        <v/>
      </c>
      <c r="I186">
        <f>IFERROR(INDEX(Action_Register!K:K,ROW()-1),"")</f>
        <v/>
      </c>
    </row>
    <row r="187">
      <c r="A187">
        <f>IFERROR(INDEX(Action_Register!A:A,ROW()-1),"")</f>
        <v/>
      </c>
      <c r="B187">
        <f>IFERROR(INDEX(Action_Register!E:E,ROW()-1),"")</f>
        <v/>
      </c>
      <c r="C187">
        <f>IFERROR(VLOOKUP(INDEX(Action_Register!F:F,ROW()-1),Action_Templates!A:H,8,FALSE),"")</f>
        <v/>
      </c>
      <c r="D187">
        <f>IFERROR(INDEX(Action_Register!AB:AB,ROW()-1),"")</f>
        <v/>
      </c>
      <c r="E187">
        <f>IFERROR(INDEX(Action_Register!J:J,ROW()-1),"")</f>
        <v/>
      </c>
      <c r="F187">
        <f>IFERROR(INDEX(Action_Register!L:L,ROW()-1),"")</f>
        <v/>
      </c>
      <c r="G187">
        <f>IFERROR(INDEX(Action_Register!N:N,ROW()-1),"")</f>
        <v/>
      </c>
      <c r="H187">
        <f>IFERROR(INDEX(Action_Register!O:O,ROW()-1),"")</f>
        <v/>
      </c>
      <c r="I187">
        <f>IFERROR(INDEX(Action_Register!K:K,ROW()-1),"")</f>
        <v/>
      </c>
    </row>
    <row r="188">
      <c r="A188">
        <f>IFERROR(INDEX(Action_Register!A:A,ROW()-1),"")</f>
        <v/>
      </c>
      <c r="B188">
        <f>IFERROR(INDEX(Action_Register!E:E,ROW()-1),"")</f>
        <v/>
      </c>
      <c r="C188">
        <f>IFERROR(VLOOKUP(INDEX(Action_Register!F:F,ROW()-1),Action_Templates!A:H,8,FALSE),"")</f>
        <v/>
      </c>
      <c r="D188">
        <f>IFERROR(INDEX(Action_Register!AB:AB,ROW()-1),"")</f>
        <v/>
      </c>
      <c r="E188">
        <f>IFERROR(INDEX(Action_Register!J:J,ROW()-1),"")</f>
        <v/>
      </c>
      <c r="F188">
        <f>IFERROR(INDEX(Action_Register!L:L,ROW()-1),"")</f>
        <v/>
      </c>
      <c r="G188">
        <f>IFERROR(INDEX(Action_Register!N:N,ROW()-1),"")</f>
        <v/>
      </c>
      <c r="H188">
        <f>IFERROR(INDEX(Action_Register!O:O,ROW()-1),"")</f>
        <v/>
      </c>
      <c r="I188">
        <f>IFERROR(INDEX(Action_Register!K:K,ROW()-1),"")</f>
        <v/>
      </c>
    </row>
    <row r="189">
      <c r="A189">
        <f>IFERROR(INDEX(Action_Register!A:A,ROW()-1),"")</f>
        <v/>
      </c>
      <c r="B189">
        <f>IFERROR(INDEX(Action_Register!E:E,ROW()-1),"")</f>
        <v/>
      </c>
      <c r="C189">
        <f>IFERROR(VLOOKUP(INDEX(Action_Register!F:F,ROW()-1),Action_Templates!A:H,8,FALSE),"")</f>
        <v/>
      </c>
      <c r="D189">
        <f>IFERROR(INDEX(Action_Register!AB:AB,ROW()-1),"")</f>
        <v/>
      </c>
      <c r="E189">
        <f>IFERROR(INDEX(Action_Register!J:J,ROW()-1),"")</f>
        <v/>
      </c>
      <c r="F189">
        <f>IFERROR(INDEX(Action_Register!L:L,ROW()-1),"")</f>
        <v/>
      </c>
      <c r="G189">
        <f>IFERROR(INDEX(Action_Register!N:N,ROW()-1),"")</f>
        <v/>
      </c>
      <c r="H189">
        <f>IFERROR(INDEX(Action_Register!O:O,ROW()-1),"")</f>
        <v/>
      </c>
      <c r="I189">
        <f>IFERROR(INDEX(Action_Register!K:K,ROW()-1),"")</f>
        <v/>
      </c>
    </row>
    <row r="190">
      <c r="A190">
        <f>IFERROR(INDEX(Action_Register!A:A,ROW()-1),"")</f>
        <v/>
      </c>
      <c r="B190">
        <f>IFERROR(INDEX(Action_Register!E:E,ROW()-1),"")</f>
        <v/>
      </c>
      <c r="C190">
        <f>IFERROR(VLOOKUP(INDEX(Action_Register!F:F,ROW()-1),Action_Templates!A:H,8,FALSE),"")</f>
        <v/>
      </c>
      <c r="D190">
        <f>IFERROR(INDEX(Action_Register!AB:AB,ROW()-1),"")</f>
        <v/>
      </c>
      <c r="E190">
        <f>IFERROR(INDEX(Action_Register!J:J,ROW()-1),"")</f>
        <v/>
      </c>
      <c r="F190">
        <f>IFERROR(INDEX(Action_Register!L:L,ROW()-1),"")</f>
        <v/>
      </c>
      <c r="G190">
        <f>IFERROR(INDEX(Action_Register!N:N,ROW()-1),"")</f>
        <v/>
      </c>
      <c r="H190">
        <f>IFERROR(INDEX(Action_Register!O:O,ROW()-1),"")</f>
        <v/>
      </c>
      <c r="I190">
        <f>IFERROR(INDEX(Action_Register!K:K,ROW()-1),"")</f>
        <v/>
      </c>
    </row>
    <row r="191">
      <c r="A191">
        <f>IFERROR(INDEX(Action_Register!A:A,ROW()-1),"")</f>
        <v/>
      </c>
      <c r="B191">
        <f>IFERROR(INDEX(Action_Register!E:E,ROW()-1),"")</f>
        <v/>
      </c>
      <c r="C191">
        <f>IFERROR(VLOOKUP(INDEX(Action_Register!F:F,ROW()-1),Action_Templates!A:H,8,FALSE),"")</f>
        <v/>
      </c>
      <c r="D191">
        <f>IFERROR(INDEX(Action_Register!AB:AB,ROW()-1),"")</f>
        <v/>
      </c>
      <c r="E191">
        <f>IFERROR(INDEX(Action_Register!J:J,ROW()-1),"")</f>
        <v/>
      </c>
      <c r="F191">
        <f>IFERROR(INDEX(Action_Register!L:L,ROW()-1),"")</f>
        <v/>
      </c>
      <c r="G191">
        <f>IFERROR(INDEX(Action_Register!N:N,ROW()-1),"")</f>
        <v/>
      </c>
      <c r="H191">
        <f>IFERROR(INDEX(Action_Register!O:O,ROW()-1),"")</f>
        <v/>
      </c>
      <c r="I191">
        <f>IFERROR(INDEX(Action_Register!K:K,ROW()-1),"")</f>
        <v/>
      </c>
    </row>
    <row r="192">
      <c r="A192">
        <f>IFERROR(INDEX(Action_Register!A:A,ROW()-1),"")</f>
        <v/>
      </c>
      <c r="B192">
        <f>IFERROR(INDEX(Action_Register!E:E,ROW()-1),"")</f>
        <v/>
      </c>
      <c r="C192">
        <f>IFERROR(VLOOKUP(INDEX(Action_Register!F:F,ROW()-1),Action_Templates!A:H,8,FALSE),"")</f>
        <v/>
      </c>
      <c r="D192">
        <f>IFERROR(INDEX(Action_Register!AB:AB,ROW()-1),"")</f>
        <v/>
      </c>
      <c r="E192">
        <f>IFERROR(INDEX(Action_Register!J:J,ROW()-1),"")</f>
        <v/>
      </c>
      <c r="F192">
        <f>IFERROR(INDEX(Action_Register!L:L,ROW()-1),"")</f>
        <v/>
      </c>
      <c r="G192">
        <f>IFERROR(INDEX(Action_Register!N:N,ROW()-1),"")</f>
        <v/>
      </c>
      <c r="H192">
        <f>IFERROR(INDEX(Action_Register!O:O,ROW()-1),"")</f>
        <v/>
      </c>
      <c r="I192">
        <f>IFERROR(INDEX(Action_Register!K:K,ROW()-1),"")</f>
        <v/>
      </c>
    </row>
    <row r="193">
      <c r="A193">
        <f>IFERROR(INDEX(Action_Register!A:A,ROW()-1),"")</f>
        <v/>
      </c>
      <c r="B193">
        <f>IFERROR(INDEX(Action_Register!E:E,ROW()-1),"")</f>
        <v/>
      </c>
      <c r="C193">
        <f>IFERROR(VLOOKUP(INDEX(Action_Register!F:F,ROW()-1),Action_Templates!A:H,8,FALSE),"")</f>
        <v/>
      </c>
      <c r="D193">
        <f>IFERROR(INDEX(Action_Register!AB:AB,ROW()-1),"")</f>
        <v/>
      </c>
      <c r="E193">
        <f>IFERROR(INDEX(Action_Register!J:J,ROW()-1),"")</f>
        <v/>
      </c>
      <c r="F193">
        <f>IFERROR(INDEX(Action_Register!L:L,ROW()-1),"")</f>
        <v/>
      </c>
      <c r="G193">
        <f>IFERROR(INDEX(Action_Register!N:N,ROW()-1),"")</f>
        <v/>
      </c>
      <c r="H193">
        <f>IFERROR(INDEX(Action_Register!O:O,ROW()-1),"")</f>
        <v/>
      </c>
      <c r="I193">
        <f>IFERROR(INDEX(Action_Register!K:K,ROW()-1),"")</f>
        <v/>
      </c>
    </row>
    <row r="194">
      <c r="A194">
        <f>IFERROR(INDEX(Action_Register!A:A,ROW()-1),"")</f>
        <v/>
      </c>
      <c r="B194">
        <f>IFERROR(INDEX(Action_Register!E:E,ROW()-1),"")</f>
        <v/>
      </c>
      <c r="C194">
        <f>IFERROR(VLOOKUP(INDEX(Action_Register!F:F,ROW()-1),Action_Templates!A:H,8,FALSE),"")</f>
        <v/>
      </c>
      <c r="D194">
        <f>IFERROR(INDEX(Action_Register!AB:AB,ROW()-1),"")</f>
        <v/>
      </c>
      <c r="E194">
        <f>IFERROR(INDEX(Action_Register!J:J,ROW()-1),"")</f>
        <v/>
      </c>
      <c r="F194">
        <f>IFERROR(INDEX(Action_Register!L:L,ROW()-1),"")</f>
        <v/>
      </c>
      <c r="G194">
        <f>IFERROR(INDEX(Action_Register!N:N,ROW()-1),"")</f>
        <v/>
      </c>
      <c r="H194">
        <f>IFERROR(INDEX(Action_Register!O:O,ROW()-1),"")</f>
        <v/>
      </c>
      <c r="I194">
        <f>IFERROR(INDEX(Action_Register!K:K,ROW()-1),"")</f>
        <v/>
      </c>
    </row>
    <row r="195">
      <c r="A195">
        <f>IFERROR(INDEX(Action_Register!A:A,ROW()-1),"")</f>
        <v/>
      </c>
      <c r="B195">
        <f>IFERROR(INDEX(Action_Register!E:E,ROW()-1),"")</f>
        <v/>
      </c>
      <c r="C195">
        <f>IFERROR(VLOOKUP(INDEX(Action_Register!F:F,ROW()-1),Action_Templates!A:H,8,FALSE),"")</f>
        <v/>
      </c>
      <c r="D195">
        <f>IFERROR(INDEX(Action_Register!AB:AB,ROW()-1),"")</f>
        <v/>
      </c>
      <c r="E195">
        <f>IFERROR(INDEX(Action_Register!J:J,ROW()-1),"")</f>
        <v/>
      </c>
      <c r="F195">
        <f>IFERROR(INDEX(Action_Register!L:L,ROW()-1),"")</f>
        <v/>
      </c>
      <c r="G195">
        <f>IFERROR(INDEX(Action_Register!N:N,ROW()-1),"")</f>
        <v/>
      </c>
      <c r="H195">
        <f>IFERROR(INDEX(Action_Register!O:O,ROW()-1),"")</f>
        <v/>
      </c>
      <c r="I195">
        <f>IFERROR(INDEX(Action_Register!K:K,ROW()-1),"")</f>
        <v/>
      </c>
    </row>
    <row r="196">
      <c r="A196">
        <f>IFERROR(INDEX(Action_Register!A:A,ROW()-1),"")</f>
        <v/>
      </c>
      <c r="B196">
        <f>IFERROR(INDEX(Action_Register!E:E,ROW()-1),"")</f>
        <v/>
      </c>
      <c r="C196">
        <f>IFERROR(VLOOKUP(INDEX(Action_Register!F:F,ROW()-1),Action_Templates!A:H,8,FALSE),"")</f>
        <v/>
      </c>
      <c r="D196">
        <f>IFERROR(INDEX(Action_Register!AB:AB,ROW()-1),"")</f>
        <v/>
      </c>
      <c r="E196">
        <f>IFERROR(INDEX(Action_Register!J:J,ROW()-1),"")</f>
        <v/>
      </c>
      <c r="F196">
        <f>IFERROR(INDEX(Action_Register!L:L,ROW()-1),"")</f>
        <v/>
      </c>
      <c r="G196">
        <f>IFERROR(INDEX(Action_Register!N:N,ROW()-1),"")</f>
        <v/>
      </c>
      <c r="H196">
        <f>IFERROR(INDEX(Action_Register!O:O,ROW()-1),"")</f>
        <v/>
      </c>
      <c r="I196">
        <f>IFERROR(INDEX(Action_Register!K:K,ROW()-1),"")</f>
        <v/>
      </c>
    </row>
    <row r="197">
      <c r="A197">
        <f>IFERROR(INDEX(Action_Register!A:A,ROW()-1),"")</f>
        <v/>
      </c>
      <c r="B197">
        <f>IFERROR(INDEX(Action_Register!E:E,ROW()-1),"")</f>
        <v/>
      </c>
      <c r="C197">
        <f>IFERROR(VLOOKUP(INDEX(Action_Register!F:F,ROW()-1),Action_Templates!A:H,8,FALSE),"")</f>
        <v/>
      </c>
      <c r="D197">
        <f>IFERROR(INDEX(Action_Register!AB:AB,ROW()-1),"")</f>
        <v/>
      </c>
      <c r="E197">
        <f>IFERROR(INDEX(Action_Register!J:J,ROW()-1),"")</f>
        <v/>
      </c>
      <c r="F197">
        <f>IFERROR(INDEX(Action_Register!L:L,ROW()-1),"")</f>
        <v/>
      </c>
      <c r="G197">
        <f>IFERROR(INDEX(Action_Register!N:N,ROW()-1),"")</f>
        <v/>
      </c>
      <c r="H197">
        <f>IFERROR(INDEX(Action_Register!O:O,ROW()-1),"")</f>
        <v/>
      </c>
      <c r="I197">
        <f>IFERROR(INDEX(Action_Register!K:K,ROW()-1),"")</f>
        <v/>
      </c>
    </row>
    <row r="198">
      <c r="A198">
        <f>IFERROR(INDEX(Action_Register!A:A,ROW()-1),"")</f>
        <v/>
      </c>
      <c r="B198">
        <f>IFERROR(INDEX(Action_Register!E:E,ROW()-1),"")</f>
        <v/>
      </c>
      <c r="C198">
        <f>IFERROR(VLOOKUP(INDEX(Action_Register!F:F,ROW()-1),Action_Templates!A:H,8,FALSE),"")</f>
        <v/>
      </c>
      <c r="D198">
        <f>IFERROR(INDEX(Action_Register!AB:AB,ROW()-1),"")</f>
        <v/>
      </c>
      <c r="E198">
        <f>IFERROR(INDEX(Action_Register!J:J,ROW()-1),"")</f>
        <v/>
      </c>
      <c r="F198">
        <f>IFERROR(INDEX(Action_Register!L:L,ROW()-1),"")</f>
        <v/>
      </c>
      <c r="G198">
        <f>IFERROR(INDEX(Action_Register!N:N,ROW()-1),"")</f>
        <v/>
      </c>
      <c r="H198">
        <f>IFERROR(INDEX(Action_Register!O:O,ROW()-1),"")</f>
        <v/>
      </c>
      <c r="I198">
        <f>IFERROR(INDEX(Action_Register!K:K,ROW()-1),"")</f>
        <v/>
      </c>
    </row>
    <row r="199">
      <c r="A199">
        <f>IFERROR(INDEX(Action_Register!A:A,ROW()-1),"")</f>
        <v/>
      </c>
      <c r="B199">
        <f>IFERROR(INDEX(Action_Register!E:E,ROW()-1),"")</f>
        <v/>
      </c>
      <c r="C199">
        <f>IFERROR(VLOOKUP(INDEX(Action_Register!F:F,ROW()-1),Action_Templates!A:H,8,FALSE),"")</f>
        <v/>
      </c>
      <c r="D199">
        <f>IFERROR(INDEX(Action_Register!AB:AB,ROW()-1),"")</f>
        <v/>
      </c>
      <c r="E199">
        <f>IFERROR(INDEX(Action_Register!J:J,ROW()-1),"")</f>
        <v/>
      </c>
      <c r="F199">
        <f>IFERROR(INDEX(Action_Register!L:L,ROW()-1),"")</f>
        <v/>
      </c>
      <c r="G199">
        <f>IFERROR(INDEX(Action_Register!N:N,ROW()-1),"")</f>
        <v/>
      </c>
      <c r="H199">
        <f>IFERROR(INDEX(Action_Register!O:O,ROW()-1),"")</f>
        <v/>
      </c>
      <c r="I199">
        <f>IFERROR(INDEX(Action_Register!K:K,ROW()-1),"")</f>
        <v/>
      </c>
    </row>
    <row r="200">
      <c r="A200">
        <f>IFERROR(INDEX(Action_Register!A:A,ROW()-1),"")</f>
        <v/>
      </c>
      <c r="B200">
        <f>IFERROR(INDEX(Action_Register!E:E,ROW()-1),"")</f>
        <v/>
      </c>
      <c r="C200">
        <f>IFERROR(VLOOKUP(INDEX(Action_Register!F:F,ROW()-1),Action_Templates!A:H,8,FALSE),"")</f>
        <v/>
      </c>
      <c r="D200">
        <f>IFERROR(INDEX(Action_Register!AB:AB,ROW()-1),"")</f>
        <v/>
      </c>
      <c r="E200">
        <f>IFERROR(INDEX(Action_Register!J:J,ROW()-1),"")</f>
        <v/>
      </c>
      <c r="F200">
        <f>IFERROR(INDEX(Action_Register!L:L,ROW()-1),"")</f>
        <v/>
      </c>
      <c r="G200">
        <f>IFERROR(INDEX(Action_Register!N:N,ROW()-1),"")</f>
        <v/>
      </c>
      <c r="H200">
        <f>IFERROR(INDEX(Action_Register!O:O,ROW()-1),"")</f>
        <v/>
      </c>
      <c r="I200">
        <f>IFERROR(INDEX(Action_Register!K:K,ROW()-1),"")</f>
        <v/>
      </c>
    </row>
    <row r="201">
      <c r="A201">
        <f>IFERROR(INDEX(Action_Register!A:A,ROW()-1),"")</f>
        <v/>
      </c>
      <c r="B201">
        <f>IFERROR(INDEX(Action_Register!E:E,ROW()-1),"")</f>
        <v/>
      </c>
      <c r="C201">
        <f>IFERROR(VLOOKUP(INDEX(Action_Register!F:F,ROW()-1),Action_Templates!A:H,8,FALSE),"")</f>
        <v/>
      </c>
      <c r="D201">
        <f>IFERROR(INDEX(Action_Register!AB:AB,ROW()-1),"")</f>
        <v/>
      </c>
      <c r="E201">
        <f>IFERROR(INDEX(Action_Register!J:J,ROW()-1),"")</f>
        <v/>
      </c>
      <c r="F201">
        <f>IFERROR(INDEX(Action_Register!L:L,ROW()-1),"")</f>
        <v/>
      </c>
      <c r="G201">
        <f>IFERROR(INDEX(Action_Register!N:N,ROW()-1),"")</f>
        <v/>
      </c>
      <c r="H201">
        <f>IFERROR(INDEX(Action_Register!O:O,ROW()-1),"")</f>
        <v/>
      </c>
      <c r="I201">
        <f>IFERROR(INDEX(Action_Register!K:K,ROW()-1),"")</f>
        <v/>
      </c>
    </row>
    <row r="202">
      <c r="A202">
        <f>IFERROR(INDEX(Action_Register!A:A,ROW()-1),"")</f>
        <v/>
      </c>
      <c r="B202">
        <f>IFERROR(INDEX(Action_Register!E:E,ROW()-1),"")</f>
        <v/>
      </c>
      <c r="C202">
        <f>IFERROR(VLOOKUP(INDEX(Action_Register!F:F,ROW()-1),Action_Templates!A:H,8,FALSE),"")</f>
        <v/>
      </c>
      <c r="D202">
        <f>IFERROR(INDEX(Action_Register!AB:AB,ROW()-1),"")</f>
        <v/>
      </c>
      <c r="E202">
        <f>IFERROR(INDEX(Action_Register!J:J,ROW()-1),"")</f>
        <v/>
      </c>
      <c r="F202">
        <f>IFERROR(INDEX(Action_Register!L:L,ROW()-1),"")</f>
        <v/>
      </c>
      <c r="G202">
        <f>IFERROR(INDEX(Action_Register!N:N,ROW()-1),"")</f>
        <v/>
      </c>
      <c r="H202">
        <f>IFERROR(INDEX(Action_Register!O:O,ROW()-1),"")</f>
        <v/>
      </c>
      <c r="I202">
        <f>IFERROR(INDEX(Action_Register!K:K,ROW()-1),"")</f>
        <v/>
      </c>
    </row>
    <row r="203">
      <c r="A203">
        <f>IFERROR(INDEX(Action_Register!A:A,ROW()-1),"")</f>
        <v/>
      </c>
      <c r="B203">
        <f>IFERROR(INDEX(Action_Register!E:E,ROW()-1),"")</f>
        <v/>
      </c>
      <c r="C203">
        <f>IFERROR(VLOOKUP(INDEX(Action_Register!F:F,ROW()-1),Action_Templates!A:H,8,FALSE),"")</f>
        <v/>
      </c>
      <c r="D203">
        <f>IFERROR(INDEX(Action_Register!AB:AB,ROW()-1),"")</f>
        <v/>
      </c>
      <c r="E203">
        <f>IFERROR(INDEX(Action_Register!J:J,ROW()-1),"")</f>
        <v/>
      </c>
      <c r="F203">
        <f>IFERROR(INDEX(Action_Register!L:L,ROW()-1),"")</f>
        <v/>
      </c>
      <c r="G203">
        <f>IFERROR(INDEX(Action_Register!N:N,ROW()-1),"")</f>
        <v/>
      </c>
      <c r="H203">
        <f>IFERROR(INDEX(Action_Register!O:O,ROW()-1),"")</f>
        <v/>
      </c>
      <c r="I203">
        <f>IFERROR(INDEX(Action_Register!K:K,ROW()-1),"")</f>
        <v/>
      </c>
    </row>
    <row r="204">
      <c r="A204">
        <f>IFERROR(INDEX(Action_Register!A:A,ROW()-1),"")</f>
        <v/>
      </c>
      <c r="B204">
        <f>IFERROR(INDEX(Action_Register!E:E,ROW()-1),"")</f>
        <v/>
      </c>
      <c r="C204">
        <f>IFERROR(VLOOKUP(INDEX(Action_Register!F:F,ROW()-1),Action_Templates!A:H,8,FALSE),"")</f>
        <v/>
      </c>
      <c r="D204">
        <f>IFERROR(INDEX(Action_Register!AB:AB,ROW()-1),"")</f>
        <v/>
      </c>
      <c r="E204">
        <f>IFERROR(INDEX(Action_Register!J:J,ROW()-1),"")</f>
        <v/>
      </c>
      <c r="F204">
        <f>IFERROR(INDEX(Action_Register!L:L,ROW()-1),"")</f>
        <v/>
      </c>
      <c r="G204">
        <f>IFERROR(INDEX(Action_Register!N:N,ROW()-1),"")</f>
        <v/>
      </c>
      <c r="H204">
        <f>IFERROR(INDEX(Action_Register!O:O,ROW()-1),"")</f>
        <v/>
      </c>
      <c r="I204">
        <f>IFERROR(INDEX(Action_Register!K:K,ROW()-1),"")</f>
        <v/>
      </c>
    </row>
    <row r="205">
      <c r="A205">
        <f>IFERROR(INDEX(Action_Register!A:A,ROW()-1),"")</f>
        <v/>
      </c>
      <c r="B205">
        <f>IFERROR(INDEX(Action_Register!E:E,ROW()-1),"")</f>
        <v/>
      </c>
      <c r="C205">
        <f>IFERROR(VLOOKUP(INDEX(Action_Register!F:F,ROW()-1),Action_Templates!A:H,8,FALSE),"")</f>
        <v/>
      </c>
      <c r="D205">
        <f>IFERROR(INDEX(Action_Register!AB:AB,ROW()-1),"")</f>
        <v/>
      </c>
      <c r="E205">
        <f>IFERROR(INDEX(Action_Register!J:J,ROW()-1),"")</f>
        <v/>
      </c>
      <c r="F205">
        <f>IFERROR(INDEX(Action_Register!L:L,ROW()-1),"")</f>
        <v/>
      </c>
      <c r="G205">
        <f>IFERROR(INDEX(Action_Register!N:N,ROW()-1),"")</f>
        <v/>
      </c>
      <c r="H205">
        <f>IFERROR(INDEX(Action_Register!O:O,ROW()-1),"")</f>
        <v/>
      </c>
      <c r="I205">
        <f>IFERROR(INDEX(Action_Register!K:K,ROW()-1),"")</f>
        <v/>
      </c>
    </row>
    <row r="206">
      <c r="A206">
        <f>IFERROR(INDEX(Action_Register!A:A,ROW()-1),"")</f>
        <v/>
      </c>
      <c r="B206">
        <f>IFERROR(INDEX(Action_Register!E:E,ROW()-1),"")</f>
        <v/>
      </c>
      <c r="C206">
        <f>IFERROR(VLOOKUP(INDEX(Action_Register!F:F,ROW()-1),Action_Templates!A:H,8,FALSE),"")</f>
        <v/>
      </c>
      <c r="D206">
        <f>IFERROR(INDEX(Action_Register!AB:AB,ROW()-1),"")</f>
        <v/>
      </c>
      <c r="E206">
        <f>IFERROR(INDEX(Action_Register!J:J,ROW()-1),"")</f>
        <v/>
      </c>
      <c r="F206">
        <f>IFERROR(INDEX(Action_Register!L:L,ROW()-1),"")</f>
        <v/>
      </c>
      <c r="G206">
        <f>IFERROR(INDEX(Action_Register!N:N,ROW()-1),"")</f>
        <v/>
      </c>
      <c r="H206">
        <f>IFERROR(INDEX(Action_Register!O:O,ROW()-1),"")</f>
        <v/>
      </c>
      <c r="I206">
        <f>IFERROR(INDEX(Action_Register!K:K,ROW()-1),"")</f>
        <v/>
      </c>
    </row>
    <row r="207">
      <c r="A207">
        <f>IFERROR(INDEX(Action_Register!A:A,ROW()-1),"")</f>
        <v/>
      </c>
      <c r="B207">
        <f>IFERROR(INDEX(Action_Register!E:E,ROW()-1),"")</f>
        <v/>
      </c>
      <c r="C207">
        <f>IFERROR(VLOOKUP(INDEX(Action_Register!F:F,ROW()-1),Action_Templates!A:H,8,FALSE),"")</f>
        <v/>
      </c>
      <c r="D207">
        <f>IFERROR(INDEX(Action_Register!AB:AB,ROW()-1),"")</f>
        <v/>
      </c>
      <c r="E207">
        <f>IFERROR(INDEX(Action_Register!J:J,ROW()-1),"")</f>
        <v/>
      </c>
      <c r="F207">
        <f>IFERROR(INDEX(Action_Register!L:L,ROW()-1),"")</f>
        <v/>
      </c>
      <c r="G207">
        <f>IFERROR(INDEX(Action_Register!N:N,ROW()-1),"")</f>
        <v/>
      </c>
      <c r="H207">
        <f>IFERROR(INDEX(Action_Register!O:O,ROW()-1),"")</f>
        <v/>
      </c>
      <c r="I207">
        <f>IFERROR(INDEX(Action_Register!K:K,ROW()-1),"")</f>
        <v/>
      </c>
    </row>
    <row r="208">
      <c r="A208">
        <f>IFERROR(INDEX(Action_Register!A:A,ROW()-1),"")</f>
        <v/>
      </c>
      <c r="B208">
        <f>IFERROR(INDEX(Action_Register!E:E,ROW()-1),"")</f>
        <v/>
      </c>
      <c r="C208">
        <f>IFERROR(VLOOKUP(INDEX(Action_Register!F:F,ROW()-1),Action_Templates!A:H,8,FALSE),"")</f>
        <v/>
      </c>
      <c r="D208">
        <f>IFERROR(INDEX(Action_Register!AB:AB,ROW()-1),"")</f>
        <v/>
      </c>
      <c r="E208">
        <f>IFERROR(INDEX(Action_Register!J:J,ROW()-1),"")</f>
        <v/>
      </c>
      <c r="F208">
        <f>IFERROR(INDEX(Action_Register!L:L,ROW()-1),"")</f>
        <v/>
      </c>
      <c r="G208">
        <f>IFERROR(INDEX(Action_Register!N:N,ROW()-1),"")</f>
        <v/>
      </c>
      <c r="H208">
        <f>IFERROR(INDEX(Action_Register!O:O,ROW()-1),"")</f>
        <v/>
      </c>
      <c r="I208">
        <f>IFERROR(INDEX(Action_Register!K:K,ROW()-1),"")</f>
        <v/>
      </c>
    </row>
    <row r="209">
      <c r="A209">
        <f>IFERROR(INDEX(Action_Register!A:A,ROW()-1),"")</f>
        <v/>
      </c>
      <c r="B209">
        <f>IFERROR(INDEX(Action_Register!E:E,ROW()-1),"")</f>
        <v/>
      </c>
      <c r="C209">
        <f>IFERROR(VLOOKUP(INDEX(Action_Register!F:F,ROW()-1),Action_Templates!A:H,8,FALSE),"")</f>
        <v/>
      </c>
      <c r="D209">
        <f>IFERROR(INDEX(Action_Register!AB:AB,ROW()-1),"")</f>
        <v/>
      </c>
      <c r="E209">
        <f>IFERROR(INDEX(Action_Register!J:J,ROW()-1),"")</f>
        <v/>
      </c>
      <c r="F209">
        <f>IFERROR(INDEX(Action_Register!L:L,ROW()-1),"")</f>
        <v/>
      </c>
      <c r="G209">
        <f>IFERROR(INDEX(Action_Register!N:N,ROW()-1),"")</f>
        <v/>
      </c>
      <c r="H209">
        <f>IFERROR(INDEX(Action_Register!O:O,ROW()-1),"")</f>
        <v/>
      </c>
      <c r="I209">
        <f>IFERROR(INDEX(Action_Register!K:K,ROW()-1),"")</f>
        <v/>
      </c>
    </row>
    <row r="210">
      <c r="A210">
        <f>IFERROR(INDEX(Action_Register!A:A,ROW()-1),"")</f>
        <v/>
      </c>
      <c r="B210">
        <f>IFERROR(INDEX(Action_Register!E:E,ROW()-1),"")</f>
        <v/>
      </c>
      <c r="C210">
        <f>IFERROR(VLOOKUP(INDEX(Action_Register!F:F,ROW()-1),Action_Templates!A:H,8,FALSE),"")</f>
        <v/>
      </c>
      <c r="D210">
        <f>IFERROR(INDEX(Action_Register!AB:AB,ROW()-1),"")</f>
        <v/>
      </c>
      <c r="E210">
        <f>IFERROR(INDEX(Action_Register!J:J,ROW()-1),"")</f>
        <v/>
      </c>
      <c r="F210">
        <f>IFERROR(INDEX(Action_Register!L:L,ROW()-1),"")</f>
        <v/>
      </c>
      <c r="G210">
        <f>IFERROR(INDEX(Action_Register!N:N,ROW()-1),"")</f>
        <v/>
      </c>
      <c r="H210">
        <f>IFERROR(INDEX(Action_Register!O:O,ROW()-1),"")</f>
        <v/>
      </c>
      <c r="I210">
        <f>IFERROR(INDEX(Action_Register!K:K,ROW()-1),"")</f>
        <v/>
      </c>
    </row>
    <row r="211">
      <c r="A211">
        <f>IFERROR(INDEX(Action_Register!A:A,ROW()-1),"")</f>
        <v/>
      </c>
      <c r="B211">
        <f>IFERROR(INDEX(Action_Register!E:E,ROW()-1),"")</f>
        <v/>
      </c>
      <c r="C211">
        <f>IFERROR(VLOOKUP(INDEX(Action_Register!F:F,ROW()-1),Action_Templates!A:H,8,FALSE),"")</f>
        <v/>
      </c>
      <c r="D211">
        <f>IFERROR(INDEX(Action_Register!AB:AB,ROW()-1),"")</f>
        <v/>
      </c>
      <c r="E211">
        <f>IFERROR(INDEX(Action_Register!J:J,ROW()-1),"")</f>
        <v/>
      </c>
      <c r="F211">
        <f>IFERROR(INDEX(Action_Register!L:L,ROW()-1),"")</f>
        <v/>
      </c>
      <c r="G211">
        <f>IFERROR(INDEX(Action_Register!N:N,ROW()-1),"")</f>
        <v/>
      </c>
      <c r="H211">
        <f>IFERROR(INDEX(Action_Register!O:O,ROW()-1),"")</f>
        <v/>
      </c>
      <c r="I211">
        <f>IFERROR(INDEX(Action_Register!K:K,ROW()-1),"")</f>
        <v/>
      </c>
    </row>
    <row r="212">
      <c r="A212">
        <f>IFERROR(INDEX(Action_Register!A:A,ROW()-1),"")</f>
        <v/>
      </c>
      <c r="B212">
        <f>IFERROR(INDEX(Action_Register!E:E,ROW()-1),"")</f>
        <v/>
      </c>
      <c r="C212">
        <f>IFERROR(VLOOKUP(INDEX(Action_Register!F:F,ROW()-1),Action_Templates!A:H,8,FALSE),"")</f>
        <v/>
      </c>
      <c r="D212">
        <f>IFERROR(INDEX(Action_Register!AB:AB,ROW()-1),"")</f>
        <v/>
      </c>
      <c r="E212">
        <f>IFERROR(INDEX(Action_Register!J:J,ROW()-1),"")</f>
        <v/>
      </c>
      <c r="F212">
        <f>IFERROR(INDEX(Action_Register!L:L,ROW()-1),"")</f>
        <v/>
      </c>
      <c r="G212">
        <f>IFERROR(INDEX(Action_Register!N:N,ROW()-1),"")</f>
        <v/>
      </c>
      <c r="H212">
        <f>IFERROR(INDEX(Action_Register!O:O,ROW()-1),"")</f>
        <v/>
      </c>
      <c r="I212">
        <f>IFERROR(INDEX(Action_Register!K:K,ROW()-1),"")</f>
        <v/>
      </c>
    </row>
    <row r="213">
      <c r="A213">
        <f>IFERROR(INDEX(Action_Register!A:A,ROW()-1),"")</f>
        <v/>
      </c>
      <c r="B213">
        <f>IFERROR(INDEX(Action_Register!E:E,ROW()-1),"")</f>
        <v/>
      </c>
      <c r="C213">
        <f>IFERROR(VLOOKUP(INDEX(Action_Register!F:F,ROW()-1),Action_Templates!A:H,8,FALSE),"")</f>
        <v/>
      </c>
      <c r="D213">
        <f>IFERROR(INDEX(Action_Register!AB:AB,ROW()-1),"")</f>
        <v/>
      </c>
      <c r="E213">
        <f>IFERROR(INDEX(Action_Register!J:J,ROW()-1),"")</f>
        <v/>
      </c>
      <c r="F213">
        <f>IFERROR(INDEX(Action_Register!L:L,ROW()-1),"")</f>
        <v/>
      </c>
      <c r="G213">
        <f>IFERROR(INDEX(Action_Register!N:N,ROW()-1),"")</f>
        <v/>
      </c>
      <c r="H213">
        <f>IFERROR(INDEX(Action_Register!O:O,ROW()-1),"")</f>
        <v/>
      </c>
      <c r="I213">
        <f>IFERROR(INDEX(Action_Register!K:K,ROW()-1),"")</f>
        <v/>
      </c>
    </row>
    <row r="214">
      <c r="A214">
        <f>IFERROR(INDEX(Action_Register!A:A,ROW()-1),"")</f>
        <v/>
      </c>
      <c r="B214">
        <f>IFERROR(INDEX(Action_Register!E:E,ROW()-1),"")</f>
        <v/>
      </c>
      <c r="C214">
        <f>IFERROR(VLOOKUP(INDEX(Action_Register!F:F,ROW()-1),Action_Templates!A:H,8,FALSE),"")</f>
        <v/>
      </c>
      <c r="D214">
        <f>IFERROR(INDEX(Action_Register!AB:AB,ROW()-1),"")</f>
        <v/>
      </c>
      <c r="E214">
        <f>IFERROR(INDEX(Action_Register!J:J,ROW()-1),"")</f>
        <v/>
      </c>
      <c r="F214">
        <f>IFERROR(INDEX(Action_Register!L:L,ROW()-1),"")</f>
        <v/>
      </c>
      <c r="G214">
        <f>IFERROR(INDEX(Action_Register!N:N,ROW()-1),"")</f>
        <v/>
      </c>
      <c r="H214">
        <f>IFERROR(INDEX(Action_Register!O:O,ROW()-1),"")</f>
        <v/>
      </c>
      <c r="I214">
        <f>IFERROR(INDEX(Action_Register!K:K,ROW()-1),"")</f>
        <v/>
      </c>
    </row>
    <row r="215">
      <c r="A215">
        <f>IFERROR(INDEX(Action_Register!A:A,ROW()-1),"")</f>
        <v/>
      </c>
      <c r="B215">
        <f>IFERROR(INDEX(Action_Register!E:E,ROW()-1),"")</f>
        <v/>
      </c>
      <c r="C215">
        <f>IFERROR(VLOOKUP(INDEX(Action_Register!F:F,ROW()-1),Action_Templates!A:H,8,FALSE),"")</f>
        <v/>
      </c>
      <c r="D215">
        <f>IFERROR(INDEX(Action_Register!AB:AB,ROW()-1),"")</f>
        <v/>
      </c>
      <c r="E215">
        <f>IFERROR(INDEX(Action_Register!J:J,ROW()-1),"")</f>
        <v/>
      </c>
      <c r="F215">
        <f>IFERROR(INDEX(Action_Register!L:L,ROW()-1),"")</f>
        <v/>
      </c>
      <c r="G215">
        <f>IFERROR(INDEX(Action_Register!N:N,ROW()-1),"")</f>
        <v/>
      </c>
      <c r="H215">
        <f>IFERROR(INDEX(Action_Register!O:O,ROW()-1),"")</f>
        <v/>
      </c>
      <c r="I215">
        <f>IFERROR(INDEX(Action_Register!K:K,ROW()-1),"")</f>
        <v/>
      </c>
    </row>
    <row r="216">
      <c r="A216">
        <f>IFERROR(INDEX(Action_Register!A:A,ROW()-1),"")</f>
        <v/>
      </c>
      <c r="B216">
        <f>IFERROR(INDEX(Action_Register!E:E,ROW()-1),"")</f>
        <v/>
      </c>
      <c r="C216">
        <f>IFERROR(VLOOKUP(INDEX(Action_Register!F:F,ROW()-1),Action_Templates!A:H,8,FALSE),"")</f>
        <v/>
      </c>
      <c r="D216">
        <f>IFERROR(INDEX(Action_Register!AB:AB,ROW()-1),"")</f>
        <v/>
      </c>
      <c r="E216">
        <f>IFERROR(INDEX(Action_Register!J:J,ROW()-1),"")</f>
        <v/>
      </c>
      <c r="F216">
        <f>IFERROR(INDEX(Action_Register!L:L,ROW()-1),"")</f>
        <v/>
      </c>
      <c r="G216">
        <f>IFERROR(INDEX(Action_Register!N:N,ROW()-1),"")</f>
        <v/>
      </c>
      <c r="H216">
        <f>IFERROR(INDEX(Action_Register!O:O,ROW()-1),"")</f>
        <v/>
      </c>
      <c r="I216">
        <f>IFERROR(INDEX(Action_Register!K:K,ROW()-1),"")</f>
        <v/>
      </c>
    </row>
    <row r="217">
      <c r="A217">
        <f>IFERROR(INDEX(Action_Register!A:A,ROW()-1),"")</f>
        <v/>
      </c>
      <c r="B217">
        <f>IFERROR(INDEX(Action_Register!E:E,ROW()-1),"")</f>
        <v/>
      </c>
      <c r="C217">
        <f>IFERROR(VLOOKUP(INDEX(Action_Register!F:F,ROW()-1),Action_Templates!A:H,8,FALSE),"")</f>
        <v/>
      </c>
      <c r="D217">
        <f>IFERROR(INDEX(Action_Register!AB:AB,ROW()-1),"")</f>
        <v/>
      </c>
      <c r="E217">
        <f>IFERROR(INDEX(Action_Register!J:J,ROW()-1),"")</f>
        <v/>
      </c>
      <c r="F217">
        <f>IFERROR(INDEX(Action_Register!L:L,ROW()-1),"")</f>
        <v/>
      </c>
      <c r="G217">
        <f>IFERROR(INDEX(Action_Register!N:N,ROW()-1),"")</f>
        <v/>
      </c>
      <c r="H217">
        <f>IFERROR(INDEX(Action_Register!O:O,ROW()-1),"")</f>
        <v/>
      </c>
      <c r="I217">
        <f>IFERROR(INDEX(Action_Register!K:K,ROW()-1),"")</f>
        <v/>
      </c>
    </row>
    <row r="218">
      <c r="A218">
        <f>IFERROR(INDEX(Action_Register!A:A,ROW()-1),"")</f>
        <v/>
      </c>
      <c r="B218">
        <f>IFERROR(INDEX(Action_Register!E:E,ROW()-1),"")</f>
        <v/>
      </c>
      <c r="C218">
        <f>IFERROR(VLOOKUP(INDEX(Action_Register!F:F,ROW()-1),Action_Templates!A:H,8,FALSE),"")</f>
        <v/>
      </c>
      <c r="D218">
        <f>IFERROR(INDEX(Action_Register!AB:AB,ROW()-1),"")</f>
        <v/>
      </c>
      <c r="E218">
        <f>IFERROR(INDEX(Action_Register!J:J,ROW()-1),"")</f>
        <v/>
      </c>
      <c r="F218">
        <f>IFERROR(INDEX(Action_Register!L:L,ROW()-1),"")</f>
        <v/>
      </c>
      <c r="G218">
        <f>IFERROR(INDEX(Action_Register!N:N,ROW()-1),"")</f>
        <v/>
      </c>
      <c r="H218">
        <f>IFERROR(INDEX(Action_Register!O:O,ROW()-1),"")</f>
        <v/>
      </c>
      <c r="I218">
        <f>IFERROR(INDEX(Action_Register!K:K,ROW()-1),"")</f>
        <v/>
      </c>
    </row>
    <row r="219">
      <c r="A219">
        <f>IFERROR(INDEX(Action_Register!A:A,ROW()-1),"")</f>
        <v/>
      </c>
      <c r="B219">
        <f>IFERROR(INDEX(Action_Register!E:E,ROW()-1),"")</f>
        <v/>
      </c>
      <c r="C219">
        <f>IFERROR(VLOOKUP(INDEX(Action_Register!F:F,ROW()-1),Action_Templates!A:H,8,FALSE),"")</f>
        <v/>
      </c>
      <c r="D219">
        <f>IFERROR(INDEX(Action_Register!AB:AB,ROW()-1),"")</f>
        <v/>
      </c>
      <c r="E219">
        <f>IFERROR(INDEX(Action_Register!J:J,ROW()-1),"")</f>
        <v/>
      </c>
      <c r="F219">
        <f>IFERROR(INDEX(Action_Register!L:L,ROW()-1),"")</f>
        <v/>
      </c>
      <c r="G219">
        <f>IFERROR(INDEX(Action_Register!N:N,ROW()-1),"")</f>
        <v/>
      </c>
      <c r="H219">
        <f>IFERROR(INDEX(Action_Register!O:O,ROW()-1),"")</f>
        <v/>
      </c>
      <c r="I219">
        <f>IFERROR(INDEX(Action_Register!K:K,ROW()-1),"")</f>
        <v/>
      </c>
    </row>
    <row r="220">
      <c r="A220">
        <f>IFERROR(INDEX(Action_Register!A:A,ROW()-1),"")</f>
        <v/>
      </c>
      <c r="B220">
        <f>IFERROR(INDEX(Action_Register!E:E,ROW()-1),"")</f>
        <v/>
      </c>
      <c r="C220">
        <f>IFERROR(VLOOKUP(INDEX(Action_Register!F:F,ROW()-1),Action_Templates!A:H,8,FALSE),"")</f>
        <v/>
      </c>
      <c r="D220">
        <f>IFERROR(INDEX(Action_Register!AB:AB,ROW()-1),"")</f>
        <v/>
      </c>
      <c r="E220">
        <f>IFERROR(INDEX(Action_Register!J:J,ROW()-1),"")</f>
        <v/>
      </c>
      <c r="F220">
        <f>IFERROR(INDEX(Action_Register!L:L,ROW()-1),"")</f>
        <v/>
      </c>
      <c r="G220">
        <f>IFERROR(INDEX(Action_Register!N:N,ROW()-1),"")</f>
        <v/>
      </c>
      <c r="H220">
        <f>IFERROR(INDEX(Action_Register!O:O,ROW()-1),"")</f>
        <v/>
      </c>
      <c r="I220">
        <f>IFERROR(INDEX(Action_Register!K:K,ROW()-1),"")</f>
        <v/>
      </c>
    </row>
    <row r="221">
      <c r="A221">
        <f>IFERROR(INDEX(Action_Register!A:A,ROW()-1),"")</f>
        <v/>
      </c>
      <c r="B221">
        <f>IFERROR(INDEX(Action_Register!E:E,ROW()-1),"")</f>
        <v/>
      </c>
      <c r="C221">
        <f>IFERROR(VLOOKUP(INDEX(Action_Register!F:F,ROW()-1),Action_Templates!A:H,8,FALSE),"")</f>
        <v/>
      </c>
      <c r="D221">
        <f>IFERROR(INDEX(Action_Register!AB:AB,ROW()-1),"")</f>
        <v/>
      </c>
      <c r="E221">
        <f>IFERROR(INDEX(Action_Register!J:J,ROW()-1),"")</f>
        <v/>
      </c>
      <c r="F221">
        <f>IFERROR(INDEX(Action_Register!L:L,ROW()-1),"")</f>
        <v/>
      </c>
      <c r="G221">
        <f>IFERROR(INDEX(Action_Register!N:N,ROW()-1),"")</f>
        <v/>
      </c>
      <c r="H221">
        <f>IFERROR(INDEX(Action_Register!O:O,ROW()-1),"")</f>
        <v/>
      </c>
      <c r="I221">
        <f>IFERROR(INDEX(Action_Register!K:K,ROW()-1),"")</f>
        <v/>
      </c>
    </row>
    <row r="222">
      <c r="A222">
        <f>IFERROR(INDEX(Action_Register!A:A,ROW()-1),"")</f>
        <v/>
      </c>
      <c r="B222">
        <f>IFERROR(INDEX(Action_Register!E:E,ROW()-1),"")</f>
        <v/>
      </c>
      <c r="C222">
        <f>IFERROR(VLOOKUP(INDEX(Action_Register!F:F,ROW()-1),Action_Templates!A:H,8,FALSE),"")</f>
        <v/>
      </c>
      <c r="D222">
        <f>IFERROR(INDEX(Action_Register!AB:AB,ROW()-1),"")</f>
        <v/>
      </c>
      <c r="E222">
        <f>IFERROR(INDEX(Action_Register!J:J,ROW()-1),"")</f>
        <v/>
      </c>
      <c r="F222">
        <f>IFERROR(INDEX(Action_Register!L:L,ROW()-1),"")</f>
        <v/>
      </c>
      <c r="G222">
        <f>IFERROR(INDEX(Action_Register!N:N,ROW()-1),"")</f>
        <v/>
      </c>
      <c r="H222">
        <f>IFERROR(INDEX(Action_Register!O:O,ROW()-1),"")</f>
        <v/>
      </c>
      <c r="I222">
        <f>IFERROR(INDEX(Action_Register!K:K,ROW()-1),"")</f>
        <v/>
      </c>
    </row>
    <row r="223">
      <c r="A223">
        <f>IFERROR(INDEX(Action_Register!A:A,ROW()-1),"")</f>
        <v/>
      </c>
      <c r="B223">
        <f>IFERROR(INDEX(Action_Register!E:E,ROW()-1),"")</f>
        <v/>
      </c>
      <c r="C223">
        <f>IFERROR(VLOOKUP(INDEX(Action_Register!F:F,ROW()-1),Action_Templates!A:H,8,FALSE),"")</f>
        <v/>
      </c>
      <c r="D223">
        <f>IFERROR(INDEX(Action_Register!AB:AB,ROW()-1),"")</f>
        <v/>
      </c>
      <c r="E223">
        <f>IFERROR(INDEX(Action_Register!J:J,ROW()-1),"")</f>
        <v/>
      </c>
      <c r="F223">
        <f>IFERROR(INDEX(Action_Register!L:L,ROW()-1),"")</f>
        <v/>
      </c>
      <c r="G223">
        <f>IFERROR(INDEX(Action_Register!N:N,ROW()-1),"")</f>
        <v/>
      </c>
      <c r="H223">
        <f>IFERROR(INDEX(Action_Register!O:O,ROW()-1),"")</f>
        <v/>
      </c>
      <c r="I223">
        <f>IFERROR(INDEX(Action_Register!K:K,ROW()-1),"")</f>
        <v/>
      </c>
    </row>
    <row r="224">
      <c r="A224">
        <f>IFERROR(INDEX(Action_Register!A:A,ROW()-1),"")</f>
        <v/>
      </c>
      <c r="B224">
        <f>IFERROR(INDEX(Action_Register!E:E,ROW()-1),"")</f>
        <v/>
      </c>
      <c r="C224">
        <f>IFERROR(VLOOKUP(INDEX(Action_Register!F:F,ROW()-1),Action_Templates!A:H,8,FALSE),"")</f>
        <v/>
      </c>
      <c r="D224">
        <f>IFERROR(INDEX(Action_Register!AB:AB,ROW()-1),"")</f>
        <v/>
      </c>
      <c r="E224">
        <f>IFERROR(INDEX(Action_Register!J:J,ROW()-1),"")</f>
        <v/>
      </c>
      <c r="F224">
        <f>IFERROR(INDEX(Action_Register!L:L,ROW()-1),"")</f>
        <v/>
      </c>
      <c r="G224">
        <f>IFERROR(INDEX(Action_Register!N:N,ROW()-1),"")</f>
        <v/>
      </c>
      <c r="H224">
        <f>IFERROR(INDEX(Action_Register!O:O,ROW()-1),"")</f>
        <v/>
      </c>
      <c r="I224">
        <f>IFERROR(INDEX(Action_Register!K:K,ROW()-1),"")</f>
        <v/>
      </c>
    </row>
    <row r="225">
      <c r="A225">
        <f>IFERROR(INDEX(Action_Register!A:A,ROW()-1),"")</f>
        <v/>
      </c>
      <c r="B225">
        <f>IFERROR(INDEX(Action_Register!E:E,ROW()-1),"")</f>
        <v/>
      </c>
      <c r="C225">
        <f>IFERROR(VLOOKUP(INDEX(Action_Register!F:F,ROW()-1),Action_Templates!A:H,8,FALSE),"")</f>
        <v/>
      </c>
      <c r="D225">
        <f>IFERROR(INDEX(Action_Register!AB:AB,ROW()-1),"")</f>
        <v/>
      </c>
      <c r="E225">
        <f>IFERROR(INDEX(Action_Register!J:J,ROW()-1),"")</f>
        <v/>
      </c>
      <c r="F225">
        <f>IFERROR(INDEX(Action_Register!L:L,ROW()-1),"")</f>
        <v/>
      </c>
      <c r="G225">
        <f>IFERROR(INDEX(Action_Register!N:N,ROW()-1),"")</f>
        <v/>
      </c>
      <c r="H225">
        <f>IFERROR(INDEX(Action_Register!O:O,ROW()-1),"")</f>
        <v/>
      </c>
      <c r="I225">
        <f>IFERROR(INDEX(Action_Register!K:K,ROW()-1),"")</f>
        <v/>
      </c>
    </row>
    <row r="226">
      <c r="A226">
        <f>IFERROR(INDEX(Action_Register!A:A,ROW()-1),"")</f>
        <v/>
      </c>
      <c r="B226">
        <f>IFERROR(INDEX(Action_Register!E:E,ROW()-1),"")</f>
        <v/>
      </c>
      <c r="C226">
        <f>IFERROR(VLOOKUP(INDEX(Action_Register!F:F,ROW()-1),Action_Templates!A:H,8,FALSE),"")</f>
        <v/>
      </c>
      <c r="D226">
        <f>IFERROR(INDEX(Action_Register!AB:AB,ROW()-1),"")</f>
        <v/>
      </c>
      <c r="E226">
        <f>IFERROR(INDEX(Action_Register!J:J,ROW()-1),"")</f>
        <v/>
      </c>
      <c r="F226">
        <f>IFERROR(INDEX(Action_Register!L:L,ROW()-1),"")</f>
        <v/>
      </c>
      <c r="G226">
        <f>IFERROR(INDEX(Action_Register!N:N,ROW()-1),"")</f>
        <v/>
      </c>
      <c r="H226">
        <f>IFERROR(INDEX(Action_Register!O:O,ROW()-1),"")</f>
        <v/>
      </c>
      <c r="I226">
        <f>IFERROR(INDEX(Action_Register!K:K,ROW()-1),"")</f>
        <v/>
      </c>
    </row>
    <row r="227">
      <c r="A227">
        <f>IFERROR(INDEX(Action_Register!A:A,ROW()-1),"")</f>
        <v/>
      </c>
      <c r="B227">
        <f>IFERROR(INDEX(Action_Register!E:E,ROW()-1),"")</f>
        <v/>
      </c>
      <c r="C227">
        <f>IFERROR(VLOOKUP(INDEX(Action_Register!F:F,ROW()-1),Action_Templates!A:H,8,FALSE),"")</f>
        <v/>
      </c>
      <c r="D227">
        <f>IFERROR(INDEX(Action_Register!AB:AB,ROW()-1),"")</f>
        <v/>
      </c>
      <c r="E227">
        <f>IFERROR(INDEX(Action_Register!J:J,ROW()-1),"")</f>
        <v/>
      </c>
      <c r="F227">
        <f>IFERROR(INDEX(Action_Register!L:L,ROW()-1),"")</f>
        <v/>
      </c>
      <c r="G227">
        <f>IFERROR(INDEX(Action_Register!N:N,ROW()-1),"")</f>
        <v/>
      </c>
      <c r="H227">
        <f>IFERROR(INDEX(Action_Register!O:O,ROW()-1),"")</f>
        <v/>
      </c>
      <c r="I227">
        <f>IFERROR(INDEX(Action_Register!K:K,ROW()-1),"")</f>
        <v/>
      </c>
    </row>
    <row r="228">
      <c r="A228">
        <f>IFERROR(INDEX(Action_Register!A:A,ROW()-1),"")</f>
        <v/>
      </c>
      <c r="B228">
        <f>IFERROR(INDEX(Action_Register!E:E,ROW()-1),"")</f>
        <v/>
      </c>
      <c r="C228">
        <f>IFERROR(VLOOKUP(INDEX(Action_Register!F:F,ROW()-1),Action_Templates!A:H,8,FALSE),"")</f>
        <v/>
      </c>
      <c r="D228">
        <f>IFERROR(INDEX(Action_Register!AB:AB,ROW()-1),"")</f>
        <v/>
      </c>
      <c r="E228">
        <f>IFERROR(INDEX(Action_Register!J:J,ROW()-1),"")</f>
        <v/>
      </c>
      <c r="F228">
        <f>IFERROR(INDEX(Action_Register!L:L,ROW()-1),"")</f>
        <v/>
      </c>
      <c r="G228">
        <f>IFERROR(INDEX(Action_Register!N:N,ROW()-1),"")</f>
        <v/>
      </c>
      <c r="H228">
        <f>IFERROR(INDEX(Action_Register!O:O,ROW()-1),"")</f>
        <v/>
      </c>
      <c r="I228">
        <f>IFERROR(INDEX(Action_Register!K:K,ROW()-1),"")</f>
        <v/>
      </c>
    </row>
    <row r="229">
      <c r="A229">
        <f>IFERROR(INDEX(Action_Register!A:A,ROW()-1),"")</f>
        <v/>
      </c>
      <c r="B229">
        <f>IFERROR(INDEX(Action_Register!E:E,ROW()-1),"")</f>
        <v/>
      </c>
      <c r="C229">
        <f>IFERROR(VLOOKUP(INDEX(Action_Register!F:F,ROW()-1),Action_Templates!A:H,8,FALSE),"")</f>
        <v/>
      </c>
      <c r="D229">
        <f>IFERROR(INDEX(Action_Register!AB:AB,ROW()-1),"")</f>
        <v/>
      </c>
      <c r="E229">
        <f>IFERROR(INDEX(Action_Register!J:J,ROW()-1),"")</f>
        <v/>
      </c>
      <c r="F229">
        <f>IFERROR(INDEX(Action_Register!L:L,ROW()-1),"")</f>
        <v/>
      </c>
      <c r="G229">
        <f>IFERROR(INDEX(Action_Register!N:N,ROW()-1),"")</f>
        <v/>
      </c>
      <c r="H229">
        <f>IFERROR(INDEX(Action_Register!O:O,ROW()-1),"")</f>
        <v/>
      </c>
      <c r="I229">
        <f>IFERROR(INDEX(Action_Register!K:K,ROW()-1),"")</f>
        <v/>
      </c>
    </row>
    <row r="230">
      <c r="A230">
        <f>IFERROR(INDEX(Action_Register!A:A,ROW()-1),"")</f>
        <v/>
      </c>
      <c r="B230">
        <f>IFERROR(INDEX(Action_Register!E:E,ROW()-1),"")</f>
        <v/>
      </c>
      <c r="C230">
        <f>IFERROR(VLOOKUP(INDEX(Action_Register!F:F,ROW()-1),Action_Templates!A:H,8,FALSE),"")</f>
        <v/>
      </c>
      <c r="D230">
        <f>IFERROR(INDEX(Action_Register!AB:AB,ROW()-1),"")</f>
        <v/>
      </c>
      <c r="E230">
        <f>IFERROR(INDEX(Action_Register!J:J,ROW()-1),"")</f>
        <v/>
      </c>
      <c r="F230">
        <f>IFERROR(INDEX(Action_Register!L:L,ROW()-1),"")</f>
        <v/>
      </c>
      <c r="G230">
        <f>IFERROR(INDEX(Action_Register!N:N,ROW()-1),"")</f>
        <v/>
      </c>
      <c r="H230">
        <f>IFERROR(INDEX(Action_Register!O:O,ROW()-1),"")</f>
        <v/>
      </c>
      <c r="I230">
        <f>IFERROR(INDEX(Action_Register!K:K,ROW()-1),"")</f>
        <v/>
      </c>
    </row>
    <row r="231">
      <c r="A231">
        <f>IFERROR(INDEX(Action_Register!A:A,ROW()-1),"")</f>
        <v/>
      </c>
      <c r="B231">
        <f>IFERROR(INDEX(Action_Register!E:E,ROW()-1),"")</f>
        <v/>
      </c>
      <c r="C231">
        <f>IFERROR(VLOOKUP(INDEX(Action_Register!F:F,ROW()-1),Action_Templates!A:H,8,FALSE),"")</f>
        <v/>
      </c>
      <c r="D231">
        <f>IFERROR(INDEX(Action_Register!AB:AB,ROW()-1),"")</f>
        <v/>
      </c>
      <c r="E231">
        <f>IFERROR(INDEX(Action_Register!J:J,ROW()-1),"")</f>
        <v/>
      </c>
      <c r="F231">
        <f>IFERROR(INDEX(Action_Register!L:L,ROW()-1),"")</f>
        <v/>
      </c>
      <c r="G231">
        <f>IFERROR(INDEX(Action_Register!N:N,ROW()-1),"")</f>
        <v/>
      </c>
      <c r="H231">
        <f>IFERROR(INDEX(Action_Register!O:O,ROW()-1),"")</f>
        <v/>
      </c>
      <c r="I231">
        <f>IFERROR(INDEX(Action_Register!K:K,ROW()-1),"")</f>
        <v/>
      </c>
    </row>
    <row r="232">
      <c r="A232">
        <f>IFERROR(INDEX(Action_Register!A:A,ROW()-1),"")</f>
        <v/>
      </c>
      <c r="B232">
        <f>IFERROR(INDEX(Action_Register!E:E,ROW()-1),"")</f>
        <v/>
      </c>
      <c r="C232">
        <f>IFERROR(VLOOKUP(INDEX(Action_Register!F:F,ROW()-1),Action_Templates!A:H,8,FALSE),"")</f>
        <v/>
      </c>
      <c r="D232">
        <f>IFERROR(INDEX(Action_Register!AB:AB,ROW()-1),"")</f>
        <v/>
      </c>
      <c r="E232">
        <f>IFERROR(INDEX(Action_Register!J:J,ROW()-1),"")</f>
        <v/>
      </c>
      <c r="F232">
        <f>IFERROR(INDEX(Action_Register!L:L,ROW()-1),"")</f>
        <v/>
      </c>
      <c r="G232">
        <f>IFERROR(INDEX(Action_Register!N:N,ROW()-1),"")</f>
        <v/>
      </c>
      <c r="H232">
        <f>IFERROR(INDEX(Action_Register!O:O,ROW()-1),"")</f>
        <v/>
      </c>
      <c r="I232">
        <f>IFERROR(INDEX(Action_Register!K:K,ROW()-1),"")</f>
        <v/>
      </c>
    </row>
    <row r="233">
      <c r="A233">
        <f>IFERROR(INDEX(Action_Register!A:A,ROW()-1),"")</f>
        <v/>
      </c>
      <c r="B233">
        <f>IFERROR(INDEX(Action_Register!E:E,ROW()-1),"")</f>
        <v/>
      </c>
      <c r="C233">
        <f>IFERROR(VLOOKUP(INDEX(Action_Register!F:F,ROW()-1),Action_Templates!A:H,8,FALSE),"")</f>
        <v/>
      </c>
      <c r="D233">
        <f>IFERROR(INDEX(Action_Register!AB:AB,ROW()-1),"")</f>
        <v/>
      </c>
      <c r="E233">
        <f>IFERROR(INDEX(Action_Register!J:J,ROW()-1),"")</f>
        <v/>
      </c>
      <c r="F233">
        <f>IFERROR(INDEX(Action_Register!L:L,ROW()-1),"")</f>
        <v/>
      </c>
      <c r="G233">
        <f>IFERROR(INDEX(Action_Register!N:N,ROW()-1),"")</f>
        <v/>
      </c>
      <c r="H233">
        <f>IFERROR(INDEX(Action_Register!O:O,ROW()-1),"")</f>
        <v/>
      </c>
      <c r="I233">
        <f>IFERROR(INDEX(Action_Register!K:K,ROW()-1),"")</f>
        <v/>
      </c>
    </row>
    <row r="234">
      <c r="A234">
        <f>IFERROR(INDEX(Action_Register!A:A,ROW()-1),"")</f>
        <v/>
      </c>
      <c r="B234">
        <f>IFERROR(INDEX(Action_Register!E:E,ROW()-1),"")</f>
        <v/>
      </c>
      <c r="C234">
        <f>IFERROR(VLOOKUP(INDEX(Action_Register!F:F,ROW()-1),Action_Templates!A:H,8,FALSE),"")</f>
        <v/>
      </c>
      <c r="D234">
        <f>IFERROR(INDEX(Action_Register!AB:AB,ROW()-1),"")</f>
        <v/>
      </c>
      <c r="E234">
        <f>IFERROR(INDEX(Action_Register!J:J,ROW()-1),"")</f>
        <v/>
      </c>
      <c r="F234">
        <f>IFERROR(INDEX(Action_Register!L:L,ROW()-1),"")</f>
        <v/>
      </c>
      <c r="G234">
        <f>IFERROR(INDEX(Action_Register!N:N,ROW()-1),"")</f>
        <v/>
      </c>
      <c r="H234">
        <f>IFERROR(INDEX(Action_Register!O:O,ROW()-1),"")</f>
        <v/>
      </c>
      <c r="I234">
        <f>IFERROR(INDEX(Action_Register!K:K,ROW()-1),"")</f>
        <v/>
      </c>
    </row>
    <row r="235">
      <c r="A235">
        <f>IFERROR(INDEX(Action_Register!A:A,ROW()-1),"")</f>
        <v/>
      </c>
      <c r="B235">
        <f>IFERROR(INDEX(Action_Register!E:E,ROW()-1),"")</f>
        <v/>
      </c>
      <c r="C235">
        <f>IFERROR(VLOOKUP(INDEX(Action_Register!F:F,ROW()-1),Action_Templates!A:H,8,FALSE),"")</f>
        <v/>
      </c>
      <c r="D235">
        <f>IFERROR(INDEX(Action_Register!AB:AB,ROW()-1),"")</f>
        <v/>
      </c>
      <c r="E235">
        <f>IFERROR(INDEX(Action_Register!J:J,ROW()-1),"")</f>
        <v/>
      </c>
      <c r="F235">
        <f>IFERROR(INDEX(Action_Register!L:L,ROW()-1),"")</f>
        <v/>
      </c>
      <c r="G235">
        <f>IFERROR(INDEX(Action_Register!N:N,ROW()-1),"")</f>
        <v/>
      </c>
      <c r="H235">
        <f>IFERROR(INDEX(Action_Register!O:O,ROW()-1),"")</f>
        <v/>
      </c>
      <c r="I235">
        <f>IFERROR(INDEX(Action_Register!K:K,ROW()-1),"")</f>
        <v/>
      </c>
    </row>
    <row r="236">
      <c r="A236">
        <f>IFERROR(INDEX(Action_Register!A:A,ROW()-1),"")</f>
        <v/>
      </c>
      <c r="B236">
        <f>IFERROR(INDEX(Action_Register!E:E,ROW()-1),"")</f>
        <v/>
      </c>
      <c r="C236">
        <f>IFERROR(VLOOKUP(INDEX(Action_Register!F:F,ROW()-1),Action_Templates!A:H,8,FALSE),"")</f>
        <v/>
      </c>
      <c r="D236">
        <f>IFERROR(INDEX(Action_Register!AB:AB,ROW()-1),"")</f>
        <v/>
      </c>
      <c r="E236">
        <f>IFERROR(INDEX(Action_Register!J:J,ROW()-1),"")</f>
        <v/>
      </c>
      <c r="F236">
        <f>IFERROR(INDEX(Action_Register!L:L,ROW()-1),"")</f>
        <v/>
      </c>
      <c r="G236">
        <f>IFERROR(INDEX(Action_Register!N:N,ROW()-1),"")</f>
        <v/>
      </c>
      <c r="H236">
        <f>IFERROR(INDEX(Action_Register!O:O,ROW()-1),"")</f>
        <v/>
      </c>
      <c r="I236">
        <f>IFERROR(INDEX(Action_Register!K:K,ROW()-1),"")</f>
        <v/>
      </c>
    </row>
    <row r="237">
      <c r="A237">
        <f>IFERROR(INDEX(Action_Register!A:A,ROW()-1),"")</f>
        <v/>
      </c>
      <c r="B237">
        <f>IFERROR(INDEX(Action_Register!E:E,ROW()-1),"")</f>
        <v/>
      </c>
      <c r="C237">
        <f>IFERROR(VLOOKUP(INDEX(Action_Register!F:F,ROW()-1),Action_Templates!A:H,8,FALSE),"")</f>
        <v/>
      </c>
      <c r="D237">
        <f>IFERROR(INDEX(Action_Register!AB:AB,ROW()-1),"")</f>
        <v/>
      </c>
      <c r="E237">
        <f>IFERROR(INDEX(Action_Register!J:J,ROW()-1),"")</f>
        <v/>
      </c>
      <c r="F237">
        <f>IFERROR(INDEX(Action_Register!L:L,ROW()-1),"")</f>
        <v/>
      </c>
      <c r="G237">
        <f>IFERROR(INDEX(Action_Register!N:N,ROW()-1),"")</f>
        <v/>
      </c>
      <c r="H237">
        <f>IFERROR(INDEX(Action_Register!O:O,ROW()-1),"")</f>
        <v/>
      </c>
      <c r="I237">
        <f>IFERROR(INDEX(Action_Register!K:K,ROW()-1),"")</f>
        <v/>
      </c>
    </row>
    <row r="238">
      <c r="A238">
        <f>IFERROR(INDEX(Action_Register!A:A,ROW()-1),"")</f>
        <v/>
      </c>
      <c r="B238">
        <f>IFERROR(INDEX(Action_Register!E:E,ROW()-1),"")</f>
        <v/>
      </c>
      <c r="C238">
        <f>IFERROR(VLOOKUP(INDEX(Action_Register!F:F,ROW()-1),Action_Templates!A:H,8,FALSE),"")</f>
        <v/>
      </c>
      <c r="D238">
        <f>IFERROR(INDEX(Action_Register!AB:AB,ROW()-1),"")</f>
        <v/>
      </c>
      <c r="E238">
        <f>IFERROR(INDEX(Action_Register!J:J,ROW()-1),"")</f>
        <v/>
      </c>
      <c r="F238">
        <f>IFERROR(INDEX(Action_Register!L:L,ROW()-1),"")</f>
        <v/>
      </c>
      <c r="G238">
        <f>IFERROR(INDEX(Action_Register!N:N,ROW()-1),"")</f>
        <v/>
      </c>
      <c r="H238">
        <f>IFERROR(INDEX(Action_Register!O:O,ROW()-1),"")</f>
        <v/>
      </c>
      <c r="I238">
        <f>IFERROR(INDEX(Action_Register!K:K,ROW()-1),"")</f>
        <v/>
      </c>
    </row>
    <row r="239">
      <c r="A239">
        <f>IFERROR(INDEX(Action_Register!A:A,ROW()-1),"")</f>
        <v/>
      </c>
      <c r="B239">
        <f>IFERROR(INDEX(Action_Register!E:E,ROW()-1),"")</f>
        <v/>
      </c>
      <c r="C239">
        <f>IFERROR(VLOOKUP(INDEX(Action_Register!F:F,ROW()-1),Action_Templates!A:H,8,FALSE),"")</f>
        <v/>
      </c>
      <c r="D239">
        <f>IFERROR(INDEX(Action_Register!AB:AB,ROW()-1),"")</f>
        <v/>
      </c>
      <c r="E239">
        <f>IFERROR(INDEX(Action_Register!J:J,ROW()-1),"")</f>
        <v/>
      </c>
      <c r="F239">
        <f>IFERROR(INDEX(Action_Register!L:L,ROW()-1),"")</f>
        <v/>
      </c>
      <c r="G239">
        <f>IFERROR(INDEX(Action_Register!N:N,ROW()-1),"")</f>
        <v/>
      </c>
      <c r="H239">
        <f>IFERROR(INDEX(Action_Register!O:O,ROW()-1),"")</f>
        <v/>
      </c>
      <c r="I239">
        <f>IFERROR(INDEX(Action_Register!K:K,ROW()-1),"")</f>
        <v/>
      </c>
    </row>
    <row r="240">
      <c r="A240">
        <f>IFERROR(INDEX(Action_Register!A:A,ROW()-1),"")</f>
        <v/>
      </c>
      <c r="B240">
        <f>IFERROR(INDEX(Action_Register!E:E,ROW()-1),"")</f>
        <v/>
      </c>
      <c r="C240">
        <f>IFERROR(VLOOKUP(INDEX(Action_Register!F:F,ROW()-1),Action_Templates!A:H,8,FALSE),"")</f>
        <v/>
      </c>
      <c r="D240">
        <f>IFERROR(INDEX(Action_Register!AB:AB,ROW()-1),"")</f>
        <v/>
      </c>
      <c r="E240">
        <f>IFERROR(INDEX(Action_Register!J:J,ROW()-1),"")</f>
        <v/>
      </c>
      <c r="F240">
        <f>IFERROR(INDEX(Action_Register!L:L,ROW()-1),"")</f>
        <v/>
      </c>
      <c r="G240">
        <f>IFERROR(INDEX(Action_Register!N:N,ROW()-1),"")</f>
        <v/>
      </c>
      <c r="H240">
        <f>IFERROR(INDEX(Action_Register!O:O,ROW()-1),"")</f>
        <v/>
      </c>
      <c r="I240">
        <f>IFERROR(INDEX(Action_Register!K:K,ROW()-1),"")</f>
        <v/>
      </c>
    </row>
    <row r="241">
      <c r="A241">
        <f>IFERROR(INDEX(Action_Register!A:A,ROW()-1),"")</f>
        <v/>
      </c>
      <c r="B241">
        <f>IFERROR(INDEX(Action_Register!E:E,ROW()-1),"")</f>
        <v/>
      </c>
      <c r="C241">
        <f>IFERROR(VLOOKUP(INDEX(Action_Register!F:F,ROW()-1),Action_Templates!A:H,8,FALSE),"")</f>
        <v/>
      </c>
      <c r="D241">
        <f>IFERROR(INDEX(Action_Register!AB:AB,ROW()-1),"")</f>
        <v/>
      </c>
      <c r="E241">
        <f>IFERROR(INDEX(Action_Register!J:J,ROW()-1),"")</f>
        <v/>
      </c>
      <c r="F241">
        <f>IFERROR(INDEX(Action_Register!L:L,ROW()-1),"")</f>
        <v/>
      </c>
      <c r="G241">
        <f>IFERROR(INDEX(Action_Register!N:N,ROW()-1),"")</f>
        <v/>
      </c>
      <c r="H241">
        <f>IFERROR(INDEX(Action_Register!O:O,ROW()-1),"")</f>
        <v/>
      </c>
      <c r="I241">
        <f>IFERROR(INDEX(Action_Register!K:K,ROW()-1),"")</f>
        <v/>
      </c>
    </row>
    <row r="242">
      <c r="A242">
        <f>IFERROR(INDEX(Action_Register!A:A,ROW()-1),"")</f>
        <v/>
      </c>
      <c r="B242">
        <f>IFERROR(INDEX(Action_Register!E:E,ROW()-1),"")</f>
        <v/>
      </c>
      <c r="C242">
        <f>IFERROR(VLOOKUP(INDEX(Action_Register!F:F,ROW()-1),Action_Templates!A:H,8,FALSE),"")</f>
        <v/>
      </c>
      <c r="D242">
        <f>IFERROR(INDEX(Action_Register!AB:AB,ROW()-1),"")</f>
        <v/>
      </c>
      <c r="E242">
        <f>IFERROR(INDEX(Action_Register!J:J,ROW()-1),"")</f>
        <v/>
      </c>
      <c r="F242">
        <f>IFERROR(INDEX(Action_Register!L:L,ROW()-1),"")</f>
        <v/>
      </c>
      <c r="G242">
        <f>IFERROR(INDEX(Action_Register!N:N,ROW()-1),"")</f>
        <v/>
      </c>
      <c r="H242">
        <f>IFERROR(INDEX(Action_Register!O:O,ROW()-1),"")</f>
        <v/>
      </c>
      <c r="I242">
        <f>IFERROR(INDEX(Action_Register!K:K,ROW()-1),"")</f>
        <v/>
      </c>
    </row>
    <row r="243">
      <c r="A243">
        <f>IFERROR(INDEX(Action_Register!A:A,ROW()-1),"")</f>
        <v/>
      </c>
      <c r="B243">
        <f>IFERROR(INDEX(Action_Register!E:E,ROW()-1),"")</f>
        <v/>
      </c>
      <c r="C243">
        <f>IFERROR(VLOOKUP(INDEX(Action_Register!F:F,ROW()-1),Action_Templates!A:H,8,FALSE),"")</f>
        <v/>
      </c>
      <c r="D243">
        <f>IFERROR(INDEX(Action_Register!AB:AB,ROW()-1),"")</f>
        <v/>
      </c>
      <c r="E243">
        <f>IFERROR(INDEX(Action_Register!J:J,ROW()-1),"")</f>
        <v/>
      </c>
      <c r="F243">
        <f>IFERROR(INDEX(Action_Register!L:L,ROW()-1),"")</f>
        <v/>
      </c>
      <c r="G243">
        <f>IFERROR(INDEX(Action_Register!N:N,ROW()-1),"")</f>
        <v/>
      </c>
      <c r="H243">
        <f>IFERROR(INDEX(Action_Register!O:O,ROW()-1),"")</f>
        <v/>
      </c>
      <c r="I243">
        <f>IFERROR(INDEX(Action_Register!K:K,ROW()-1),"")</f>
        <v/>
      </c>
    </row>
    <row r="244">
      <c r="A244">
        <f>IFERROR(INDEX(Action_Register!A:A,ROW()-1),"")</f>
        <v/>
      </c>
      <c r="B244">
        <f>IFERROR(INDEX(Action_Register!E:E,ROW()-1),"")</f>
        <v/>
      </c>
      <c r="C244">
        <f>IFERROR(VLOOKUP(INDEX(Action_Register!F:F,ROW()-1),Action_Templates!A:H,8,FALSE),"")</f>
        <v/>
      </c>
      <c r="D244">
        <f>IFERROR(INDEX(Action_Register!AB:AB,ROW()-1),"")</f>
        <v/>
      </c>
      <c r="E244">
        <f>IFERROR(INDEX(Action_Register!J:J,ROW()-1),"")</f>
        <v/>
      </c>
      <c r="F244">
        <f>IFERROR(INDEX(Action_Register!L:L,ROW()-1),"")</f>
        <v/>
      </c>
      <c r="G244">
        <f>IFERROR(INDEX(Action_Register!N:N,ROW()-1),"")</f>
        <v/>
      </c>
      <c r="H244">
        <f>IFERROR(INDEX(Action_Register!O:O,ROW()-1),"")</f>
        <v/>
      </c>
      <c r="I244">
        <f>IFERROR(INDEX(Action_Register!K:K,ROW()-1),"")</f>
        <v/>
      </c>
    </row>
    <row r="245">
      <c r="A245">
        <f>IFERROR(INDEX(Action_Register!A:A,ROW()-1),"")</f>
        <v/>
      </c>
      <c r="B245">
        <f>IFERROR(INDEX(Action_Register!E:E,ROW()-1),"")</f>
        <v/>
      </c>
      <c r="C245">
        <f>IFERROR(VLOOKUP(INDEX(Action_Register!F:F,ROW()-1),Action_Templates!A:H,8,FALSE),"")</f>
        <v/>
      </c>
      <c r="D245">
        <f>IFERROR(INDEX(Action_Register!AB:AB,ROW()-1),"")</f>
        <v/>
      </c>
      <c r="E245">
        <f>IFERROR(INDEX(Action_Register!J:J,ROW()-1),"")</f>
        <v/>
      </c>
      <c r="F245">
        <f>IFERROR(INDEX(Action_Register!L:L,ROW()-1),"")</f>
        <v/>
      </c>
      <c r="G245">
        <f>IFERROR(INDEX(Action_Register!N:N,ROW()-1),"")</f>
        <v/>
      </c>
      <c r="H245">
        <f>IFERROR(INDEX(Action_Register!O:O,ROW()-1),"")</f>
        <v/>
      </c>
      <c r="I245">
        <f>IFERROR(INDEX(Action_Register!K:K,ROW()-1),"")</f>
        <v/>
      </c>
    </row>
    <row r="246">
      <c r="A246">
        <f>IFERROR(INDEX(Action_Register!A:A,ROW()-1),"")</f>
        <v/>
      </c>
      <c r="B246">
        <f>IFERROR(INDEX(Action_Register!E:E,ROW()-1),"")</f>
        <v/>
      </c>
      <c r="C246">
        <f>IFERROR(VLOOKUP(INDEX(Action_Register!F:F,ROW()-1),Action_Templates!A:H,8,FALSE),"")</f>
        <v/>
      </c>
      <c r="D246">
        <f>IFERROR(INDEX(Action_Register!AB:AB,ROW()-1),"")</f>
        <v/>
      </c>
      <c r="E246">
        <f>IFERROR(INDEX(Action_Register!J:J,ROW()-1),"")</f>
        <v/>
      </c>
      <c r="F246">
        <f>IFERROR(INDEX(Action_Register!L:L,ROW()-1),"")</f>
        <v/>
      </c>
      <c r="G246">
        <f>IFERROR(INDEX(Action_Register!N:N,ROW()-1),"")</f>
        <v/>
      </c>
      <c r="H246">
        <f>IFERROR(INDEX(Action_Register!O:O,ROW()-1),"")</f>
        <v/>
      </c>
      <c r="I246">
        <f>IFERROR(INDEX(Action_Register!K:K,ROW()-1),"")</f>
        <v/>
      </c>
    </row>
    <row r="247">
      <c r="A247">
        <f>IFERROR(INDEX(Action_Register!A:A,ROW()-1),"")</f>
        <v/>
      </c>
      <c r="B247">
        <f>IFERROR(INDEX(Action_Register!E:E,ROW()-1),"")</f>
        <v/>
      </c>
      <c r="C247">
        <f>IFERROR(VLOOKUP(INDEX(Action_Register!F:F,ROW()-1),Action_Templates!A:H,8,FALSE),"")</f>
        <v/>
      </c>
      <c r="D247">
        <f>IFERROR(INDEX(Action_Register!AB:AB,ROW()-1),"")</f>
        <v/>
      </c>
      <c r="E247">
        <f>IFERROR(INDEX(Action_Register!J:J,ROW()-1),"")</f>
        <v/>
      </c>
      <c r="F247">
        <f>IFERROR(INDEX(Action_Register!L:L,ROW()-1),"")</f>
        <v/>
      </c>
      <c r="G247">
        <f>IFERROR(INDEX(Action_Register!N:N,ROW()-1),"")</f>
        <v/>
      </c>
      <c r="H247">
        <f>IFERROR(INDEX(Action_Register!O:O,ROW()-1),"")</f>
        <v/>
      </c>
      <c r="I247">
        <f>IFERROR(INDEX(Action_Register!K:K,ROW()-1),"")</f>
        <v/>
      </c>
    </row>
    <row r="248">
      <c r="A248">
        <f>IFERROR(INDEX(Action_Register!A:A,ROW()-1),"")</f>
        <v/>
      </c>
      <c r="B248">
        <f>IFERROR(INDEX(Action_Register!E:E,ROW()-1),"")</f>
        <v/>
      </c>
      <c r="C248">
        <f>IFERROR(VLOOKUP(INDEX(Action_Register!F:F,ROW()-1),Action_Templates!A:H,8,FALSE),"")</f>
        <v/>
      </c>
      <c r="D248">
        <f>IFERROR(INDEX(Action_Register!AB:AB,ROW()-1),"")</f>
        <v/>
      </c>
      <c r="E248">
        <f>IFERROR(INDEX(Action_Register!J:J,ROW()-1),"")</f>
        <v/>
      </c>
      <c r="F248">
        <f>IFERROR(INDEX(Action_Register!L:L,ROW()-1),"")</f>
        <v/>
      </c>
      <c r="G248">
        <f>IFERROR(INDEX(Action_Register!N:N,ROW()-1),"")</f>
        <v/>
      </c>
      <c r="H248">
        <f>IFERROR(INDEX(Action_Register!O:O,ROW()-1),"")</f>
        <v/>
      </c>
      <c r="I248">
        <f>IFERROR(INDEX(Action_Register!K:K,ROW()-1),"")</f>
        <v/>
      </c>
    </row>
    <row r="249">
      <c r="A249">
        <f>IFERROR(INDEX(Action_Register!A:A,ROW()-1),"")</f>
        <v/>
      </c>
      <c r="B249">
        <f>IFERROR(INDEX(Action_Register!E:E,ROW()-1),"")</f>
        <v/>
      </c>
      <c r="C249">
        <f>IFERROR(VLOOKUP(INDEX(Action_Register!F:F,ROW()-1),Action_Templates!A:H,8,FALSE),"")</f>
        <v/>
      </c>
      <c r="D249">
        <f>IFERROR(INDEX(Action_Register!AB:AB,ROW()-1),"")</f>
        <v/>
      </c>
      <c r="E249">
        <f>IFERROR(INDEX(Action_Register!J:J,ROW()-1),"")</f>
        <v/>
      </c>
      <c r="F249">
        <f>IFERROR(INDEX(Action_Register!L:L,ROW()-1),"")</f>
        <v/>
      </c>
      <c r="G249">
        <f>IFERROR(INDEX(Action_Register!N:N,ROW()-1),"")</f>
        <v/>
      </c>
      <c r="H249">
        <f>IFERROR(INDEX(Action_Register!O:O,ROW()-1),"")</f>
        <v/>
      </c>
      <c r="I249">
        <f>IFERROR(INDEX(Action_Register!K:K,ROW()-1),"")</f>
        <v/>
      </c>
    </row>
    <row r="250">
      <c r="A250">
        <f>IFERROR(INDEX(Action_Register!A:A,ROW()-1),"")</f>
        <v/>
      </c>
      <c r="B250">
        <f>IFERROR(INDEX(Action_Register!E:E,ROW()-1),"")</f>
        <v/>
      </c>
      <c r="C250">
        <f>IFERROR(VLOOKUP(INDEX(Action_Register!F:F,ROW()-1),Action_Templates!A:H,8,FALSE),"")</f>
        <v/>
      </c>
      <c r="D250">
        <f>IFERROR(INDEX(Action_Register!AB:AB,ROW()-1),"")</f>
        <v/>
      </c>
      <c r="E250">
        <f>IFERROR(INDEX(Action_Register!J:J,ROW()-1),"")</f>
        <v/>
      </c>
      <c r="F250">
        <f>IFERROR(INDEX(Action_Register!L:L,ROW()-1),"")</f>
        <v/>
      </c>
      <c r="G250">
        <f>IFERROR(INDEX(Action_Register!N:N,ROW()-1),"")</f>
        <v/>
      </c>
      <c r="H250">
        <f>IFERROR(INDEX(Action_Register!O:O,ROW()-1),"")</f>
        <v/>
      </c>
      <c r="I250">
        <f>IFERROR(INDEX(Action_Register!K:K,ROW()-1),"")</f>
        <v/>
      </c>
    </row>
    <row r="251">
      <c r="A251">
        <f>IFERROR(INDEX(Action_Register!A:A,ROW()-1),"")</f>
        <v/>
      </c>
      <c r="B251">
        <f>IFERROR(INDEX(Action_Register!E:E,ROW()-1),"")</f>
        <v/>
      </c>
      <c r="C251">
        <f>IFERROR(VLOOKUP(INDEX(Action_Register!F:F,ROW()-1),Action_Templates!A:H,8,FALSE),"")</f>
        <v/>
      </c>
      <c r="D251">
        <f>IFERROR(INDEX(Action_Register!AB:AB,ROW()-1),"")</f>
        <v/>
      </c>
      <c r="E251">
        <f>IFERROR(INDEX(Action_Register!J:J,ROW()-1),"")</f>
        <v/>
      </c>
      <c r="F251">
        <f>IFERROR(INDEX(Action_Register!L:L,ROW()-1),"")</f>
        <v/>
      </c>
      <c r="G251">
        <f>IFERROR(INDEX(Action_Register!N:N,ROW()-1),"")</f>
        <v/>
      </c>
      <c r="H251">
        <f>IFERROR(INDEX(Action_Register!O:O,ROW()-1),"")</f>
        <v/>
      </c>
      <c r="I251">
        <f>IFERROR(INDEX(Action_Register!K:K,ROW()-1),"")</f>
        <v/>
      </c>
    </row>
    <row r="252">
      <c r="A252">
        <f>IFERROR(INDEX(Action_Register!A:A,ROW()-1),"")</f>
        <v/>
      </c>
      <c r="B252">
        <f>IFERROR(INDEX(Action_Register!E:E,ROW()-1),"")</f>
        <v/>
      </c>
      <c r="C252">
        <f>IFERROR(VLOOKUP(INDEX(Action_Register!F:F,ROW()-1),Action_Templates!A:H,8,FALSE),"")</f>
        <v/>
      </c>
      <c r="D252">
        <f>IFERROR(INDEX(Action_Register!AB:AB,ROW()-1),"")</f>
        <v/>
      </c>
      <c r="E252">
        <f>IFERROR(INDEX(Action_Register!J:J,ROW()-1),"")</f>
        <v/>
      </c>
      <c r="F252">
        <f>IFERROR(INDEX(Action_Register!L:L,ROW()-1),"")</f>
        <v/>
      </c>
      <c r="G252">
        <f>IFERROR(INDEX(Action_Register!N:N,ROW()-1),"")</f>
        <v/>
      </c>
      <c r="H252">
        <f>IFERROR(INDEX(Action_Register!O:O,ROW()-1),"")</f>
        <v/>
      </c>
      <c r="I252">
        <f>IFERROR(INDEX(Action_Register!K:K,ROW()-1),"")</f>
        <v/>
      </c>
    </row>
    <row r="253">
      <c r="A253">
        <f>IFERROR(INDEX(Action_Register!A:A,ROW()-1),"")</f>
        <v/>
      </c>
      <c r="B253">
        <f>IFERROR(INDEX(Action_Register!E:E,ROW()-1),"")</f>
        <v/>
      </c>
      <c r="C253">
        <f>IFERROR(VLOOKUP(INDEX(Action_Register!F:F,ROW()-1),Action_Templates!A:H,8,FALSE),"")</f>
        <v/>
      </c>
      <c r="D253">
        <f>IFERROR(INDEX(Action_Register!AB:AB,ROW()-1),"")</f>
        <v/>
      </c>
      <c r="E253">
        <f>IFERROR(INDEX(Action_Register!J:J,ROW()-1),"")</f>
        <v/>
      </c>
      <c r="F253">
        <f>IFERROR(INDEX(Action_Register!L:L,ROW()-1),"")</f>
        <v/>
      </c>
      <c r="G253">
        <f>IFERROR(INDEX(Action_Register!N:N,ROW()-1),"")</f>
        <v/>
      </c>
      <c r="H253">
        <f>IFERROR(INDEX(Action_Register!O:O,ROW()-1),"")</f>
        <v/>
      </c>
      <c r="I253">
        <f>IFERROR(INDEX(Action_Register!K:K,ROW()-1),"")</f>
        <v/>
      </c>
    </row>
    <row r="254">
      <c r="A254">
        <f>IFERROR(INDEX(Action_Register!A:A,ROW()-1),"")</f>
        <v/>
      </c>
      <c r="B254">
        <f>IFERROR(INDEX(Action_Register!E:E,ROW()-1),"")</f>
        <v/>
      </c>
      <c r="C254">
        <f>IFERROR(VLOOKUP(INDEX(Action_Register!F:F,ROW()-1),Action_Templates!A:H,8,FALSE),"")</f>
        <v/>
      </c>
      <c r="D254">
        <f>IFERROR(INDEX(Action_Register!AB:AB,ROW()-1),"")</f>
        <v/>
      </c>
      <c r="E254">
        <f>IFERROR(INDEX(Action_Register!J:J,ROW()-1),"")</f>
        <v/>
      </c>
      <c r="F254">
        <f>IFERROR(INDEX(Action_Register!L:L,ROW()-1),"")</f>
        <v/>
      </c>
      <c r="G254">
        <f>IFERROR(INDEX(Action_Register!N:N,ROW()-1),"")</f>
        <v/>
      </c>
      <c r="H254">
        <f>IFERROR(INDEX(Action_Register!O:O,ROW()-1),"")</f>
        <v/>
      </c>
      <c r="I254">
        <f>IFERROR(INDEX(Action_Register!K:K,ROW()-1),"")</f>
        <v/>
      </c>
    </row>
    <row r="255">
      <c r="A255">
        <f>IFERROR(INDEX(Action_Register!A:A,ROW()-1),"")</f>
        <v/>
      </c>
      <c r="B255">
        <f>IFERROR(INDEX(Action_Register!E:E,ROW()-1),"")</f>
        <v/>
      </c>
      <c r="C255">
        <f>IFERROR(VLOOKUP(INDEX(Action_Register!F:F,ROW()-1),Action_Templates!A:H,8,FALSE),"")</f>
        <v/>
      </c>
      <c r="D255">
        <f>IFERROR(INDEX(Action_Register!AB:AB,ROW()-1),"")</f>
        <v/>
      </c>
      <c r="E255">
        <f>IFERROR(INDEX(Action_Register!J:J,ROW()-1),"")</f>
        <v/>
      </c>
      <c r="F255">
        <f>IFERROR(INDEX(Action_Register!L:L,ROW()-1),"")</f>
        <v/>
      </c>
      <c r="G255">
        <f>IFERROR(INDEX(Action_Register!N:N,ROW()-1),"")</f>
        <v/>
      </c>
      <c r="H255">
        <f>IFERROR(INDEX(Action_Register!O:O,ROW()-1),"")</f>
        <v/>
      </c>
      <c r="I255">
        <f>IFERROR(INDEX(Action_Register!K:K,ROW()-1),"")</f>
        <v/>
      </c>
    </row>
    <row r="256">
      <c r="A256">
        <f>IFERROR(INDEX(Action_Register!A:A,ROW()-1),"")</f>
        <v/>
      </c>
      <c r="B256">
        <f>IFERROR(INDEX(Action_Register!E:E,ROW()-1),"")</f>
        <v/>
      </c>
      <c r="C256">
        <f>IFERROR(VLOOKUP(INDEX(Action_Register!F:F,ROW()-1),Action_Templates!A:H,8,FALSE),"")</f>
        <v/>
      </c>
      <c r="D256">
        <f>IFERROR(INDEX(Action_Register!AB:AB,ROW()-1),"")</f>
        <v/>
      </c>
      <c r="E256">
        <f>IFERROR(INDEX(Action_Register!J:J,ROW()-1),"")</f>
        <v/>
      </c>
      <c r="F256">
        <f>IFERROR(INDEX(Action_Register!L:L,ROW()-1),"")</f>
        <v/>
      </c>
      <c r="G256">
        <f>IFERROR(INDEX(Action_Register!N:N,ROW()-1),"")</f>
        <v/>
      </c>
      <c r="H256">
        <f>IFERROR(INDEX(Action_Register!O:O,ROW()-1),"")</f>
        <v/>
      </c>
      <c r="I256">
        <f>IFERROR(INDEX(Action_Register!K:K,ROW()-1),"")</f>
        <v/>
      </c>
    </row>
    <row r="257">
      <c r="A257">
        <f>IFERROR(INDEX(Action_Register!A:A,ROW()-1),"")</f>
        <v/>
      </c>
      <c r="B257">
        <f>IFERROR(INDEX(Action_Register!E:E,ROW()-1),"")</f>
        <v/>
      </c>
      <c r="C257">
        <f>IFERROR(VLOOKUP(INDEX(Action_Register!F:F,ROW()-1),Action_Templates!A:H,8,FALSE),"")</f>
        <v/>
      </c>
      <c r="D257">
        <f>IFERROR(INDEX(Action_Register!AB:AB,ROW()-1),"")</f>
        <v/>
      </c>
      <c r="E257">
        <f>IFERROR(INDEX(Action_Register!J:J,ROW()-1),"")</f>
        <v/>
      </c>
      <c r="F257">
        <f>IFERROR(INDEX(Action_Register!L:L,ROW()-1),"")</f>
        <v/>
      </c>
      <c r="G257">
        <f>IFERROR(INDEX(Action_Register!N:N,ROW()-1),"")</f>
        <v/>
      </c>
      <c r="H257">
        <f>IFERROR(INDEX(Action_Register!O:O,ROW()-1),"")</f>
        <v/>
      </c>
      <c r="I257">
        <f>IFERROR(INDEX(Action_Register!K:K,ROW()-1),"")</f>
        <v/>
      </c>
    </row>
    <row r="258">
      <c r="A258">
        <f>IFERROR(INDEX(Action_Register!A:A,ROW()-1),"")</f>
        <v/>
      </c>
      <c r="B258">
        <f>IFERROR(INDEX(Action_Register!E:E,ROW()-1),"")</f>
        <v/>
      </c>
      <c r="C258">
        <f>IFERROR(VLOOKUP(INDEX(Action_Register!F:F,ROW()-1),Action_Templates!A:H,8,FALSE),"")</f>
        <v/>
      </c>
      <c r="D258">
        <f>IFERROR(INDEX(Action_Register!AB:AB,ROW()-1),"")</f>
        <v/>
      </c>
      <c r="E258">
        <f>IFERROR(INDEX(Action_Register!J:J,ROW()-1),"")</f>
        <v/>
      </c>
      <c r="F258">
        <f>IFERROR(INDEX(Action_Register!L:L,ROW()-1),"")</f>
        <v/>
      </c>
      <c r="G258">
        <f>IFERROR(INDEX(Action_Register!N:N,ROW()-1),"")</f>
        <v/>
      </c>
      <c r="H258">
        <f>IFERROR(INDEX(Action_Register!O:O,ROW()-1),"")</f>
        <v/>
      </c>
      <c r="I258">
        <f>IFERROR(INDEX(Action_Register!K:K,ROW()-1),"")</f>
        <v/>
      </c>
    </row>
    <row r="259">
      <c r="A259">
        <f>IFERROR(INDEX(Action_Register!A:A,ROW()-1),"")</f>
        <v/>
      </c>
      <c r="B259">
        <f>IFERROR(INDEX(Action_Register!E:E,ROW()-1),"")</f>
        <v/>
      </c>
      <c r="C259">
        <f>IFERROR(VLOOKUP(INDEX(Action_Register!F:F,ROW()-1),Action_Templates!A:H,8,FALSE),"")</f>
        <v/>
      </c>
      <c r="D259">
        <f>IFERROR(INDEX(Action_Register!AB:AB,ROW()-1),"")</f>
        <v/>
      </c>
      <c r="E259">
        <f>IFERROR(INDEX(Action_Register!J:J,ROW()-1),"")</f>
        <v/>
      </c>
      <c r="F259">
        <f>IFERROR(INDEX(Action_Register!L:L,ROW()-1),"")</f>
        <v/>
      </c>
      <c r="G259">
        <f>IFERROR(INDEX(Action_Register!N:N,ROW()-1),"")</f>
        <v/>
      </c>
      <c r="H259">
        <f>IFERROR(INDEX(Action_Register!O:O,ROW()-1),"")</f>
        <v/>
      </c>
      <c r="I259">
        <f>IFERROR(INDEX(Action_Register!K:K,ROW()-1),"")</f>
        <v/>
      </c>
    </row>
    <row r="260">
      <c r="A260">
        <f>IFERROR(INDEX(Action_Register!A:A,ROW()-1),"")</f>
        <v/>
      </c>
      <c r="B260">
        <f>IFERROR(INDEX(Action_Register!E:E,ROW()-1),"")</f>
        <v/>
      </c>
      <c r="C260">
        <f>IFERROR(VLOOKUP(INDEX(Action_Register!F:F,ROW()-1),Action_Templates!A:H,8,FALSE),"")</f>
        <v/>
      </c>
      <c r="D260">
        <f>IFERROR(INDEX(Action_Register!AB:AB,ROW()-1),"")</f>
        <v/>
      </c>
      <c r="E260">
        <f>IFERROR(INDEX(Action_Register!J:J,ROW()-1),"")</f>
        <v/>
      </c>
      <c r="F260">
        <f>IFERROR(INDEX(Action_Register!L:L,ROW()-1),"")</f>
        <v/>
      </c>
      <c r="G260">
        <f>IFERROR(INDEX(Action_Register!N:N,ROW()-1),"")</f>
        <v/>
      </c>
      <c r="H260">
        <f>IFERROR(INDEX(Action_Register!O:O,ROW()-1),"")</f>
        <v/>
      </c>
      <c r="I260">
        <f>IFERROR(INDEX(Action_Register!K:K,ROW()-1),"")</f>
        <v/>
      </c>
    </row>
    <row r="261">
      <c r="A261">
        <f>IFERROR(INDEX(Action_Register!A:A,ROW()-1),"")</f>
        <v/>
      </c>
      <c r="B261">
        <f>IFERROR(INDEX(Action_Register!E:E,ROW()-1),"")</f>
        <v/>
      </c>
      <c r="C261">
        <f>IFERROR(VLOOKUP(INDEX(Action_Register!F:F,ROW()-1),Action_Templates!A:H,8,FALSE),"")</f>
        <v/>
      </c>
      <c r="D261">
        <f>IFERROR(INDEX(Action_Register!AB:AB,ROW()-1),"")</f>
        <v/>
      </c>
      <c r="E261">
        <f>IFERROR(INDEX(Action_Register!J:J,ROW()-1),"")</f>
        <v/>
      </c>
      <c r="F261">
        <f>IFERROR(INDEX(Action_Register!L:L,ROW()-1),"")</f>
        <v/>
      </c>
      <c r="G261">
        <f>IFERROR(INDEX(Action_Register!N:N,ROW()-1),"")</f>
        <v/>
      </c>
      <c r="H261">
        <f>IFERROR(INDEX(Action_Register!O:O,ROW()-1),"")</f>
        <v/>
      </c>
      <c r="I261">
        <f>IFERROR(INDEX(Action_Register!K:K,ROW()-1),"")</f>
        <v/>
      </c>
    </row>
    <row r="262">
      <c r="A262">
        <f>IFERROR(INDEX(Action_Register!A:A,ROW()-1),"")</f>
        <v/>
      </c>
      <c r="B262">
        <f>IFERROR(INDEX(Action_Register!E:E,ROW()-1),"")</f>
        <v/>
      </c>
      <c r="C262">
        <f>IFERROR(VLOOKUP(INDEX(Action_Register!F:F,ROW()-1),Action_Templates!A:H,8,FALSE),"")</f>
        <v/>
      </c>
      <c r="D262">
        <f>IFERROR(INDEX(Action_Register!AB:AB,ROW()-1),"")</f>
        <v/>
      </c>
      <c r="E262">
        <f>IFERROR(INDEX(Action_Register!J:J,ROW()-1),"")</f>
        <v/>
      </c>
      <c r="F262">
        <f>IFERROR(INDEX(Action_Register!L:L,ROW()-1),"")</f>
        <v/>
      </c>
      <c r="G262">
        <f>IFERROR(INDEX(Action_Register!N:N,ROW()-1),"")</f>
        <v/>
      </c>
      <c r="H262">
        <f>IFERROR(INDEX(Action_Register!O:O,ROW()-1),"")</f>
        <v/>
      </c>
      <c r="I262">
        <f>IFERROR(INDEX(Action_Register!K:K,ROW()-1),"")</f>
        <v/>
      </c>
    </row>
    <row r="263">
      <c r="A263">
        <f>IFERROR(INDEX(Action_Register!A:A,ROW()-1),"")</f>
        <v/>
      </c>
      <c r="B263">
        <f>IFERROR(INDEX(Action_Register!E:E,ROW()-1),"")</f>
        <v/>
      </c>
      <c r="C263">
        <f>IFERROR(VLOOKUP(INDEX(Action_Register!F:F,ROW()-1),Action_Templates!A:H,8,FALSE),"")</f>
        <v/>
      </c>
      <c r="D263">
        <f>IFERROR(INDEX(Action_Register!AB:AB,ROW()-1),"")</f>
        <v/>
      </c>
      <c r="E263">
        <f>IFERROR(INDEX(Action_Register!J:J,ROW()-1),"")</f>
        <v/>
      </c>
      <c r="F263">
        <f>IFERROR(INDEX(Action_Register!L:L,ROW()-1),"")</f>
        <v/>
      </c>
      <c r="G263">
        <f>IFERROR(INDEX(Action_Register!N:N,ROW()-1),"")</f>
        <v/>
      </c>
      <c r="H263">
        <f>IFERROR(INDEX(Action_Register!O:O,ROW()-1),"")</f>
        <v/>
      </c>
      <c r="I263">
        <f>IFERROR(INDEX(Action_Register!K:K,ROW()-1),"")</f>
        <v/>
      </c>
    </row>
    <row r="264">
      <c r="A264">
        <f>IFERROR(INDEX(Action_Register!A:A,ROW()-1),"")</f>
        <v/>
      </c>
      <c r="B264">
        <f>IFERROR(INDEX(Action_Register!E:E,ROW()-1),"")</f>
        <v/>
      </c>
      <c r="C264">
        <f>IFERROR(VLOOKUP(INDEX(Action_Register!F:F,ROW()-1),Action_Templates!A:H,8,FALSE),"")</f>
        <v/>
      </c>
      <c r="D264">
        <f>IFERROR(INDEX(Action_Register!AB:AB,ROW()-1),"")</f>
        <v/>
      </c>
      <c r="E264">
        <f>IFERROR(INDEX(Action_Register!J:J,ROW()-1),"")</f>
        <v/>
      </c>
      <c r="F264">
        <f>IFERROR(INDEX(Action_Register!L:L,ROW()-1),"")</f>
        <v/>
      </c>
      <c r="G264">
        <f>IFERROR(INDEX(Action_Register!N:N,ROW()-1),"")</f>
        <v/>
      </c>
      <c r="H264">
        <f>IFERROR(INDEX(Action_Register!O:O,ROW()-1),"")</f>
        <v/>
      </c>
      <c r="I264">
        <f>IFERROR(INDEX(Action_Register!K:K,ROW()-1),"")</f>
        <v/>
      </c>
    </row>
    <row r="265">
      <c r="A265">
        <f>IFERROR(INDEX(Action_Register!A:A,ROW()-1),"")</f>
        <v/>
      </c>
      <c r="B265">
        <f>IFERROR(INDEX(Action_Register!E:E,ROW()-1),"")</f>
        <v/>
      </c>
      <c r="C265">
        <f>IFERROR(VLOOKUP(INDEX(Action_Register!F:F,ROW()-1),Action_Templates!A:H,8,FALSE),"")</f>
        <v/>
      </c>
      <c r="D265">
        <f>IFERROR(INDEX(Action_Register!AB:AB,ROW()-1),"")</f>
        <v/>
      </c>
      <c r="E265">
        <f>IFERROR(INDEX(Action_Register!J:J,ROW()-1),"")</f>
        <v/>
      </c>
      <c r="F265">
        <f>IFERROR(INDEX(Action_Register!L:L,ROW()-1),"")</f>
        <v/>
      </c>
      <c r="G265">
        <f>IFERROR(INDEX(Action_Register!N:N,ROW()-1),"")</f>
        <v/>
      </c>
      <c r="H265">
        <f>IFERROR(INDEX(Action_Register!O:O,ROW()-1),"")</f>
        <v/>
      </c>
      <c r="I265">
        <f>IFERROR(INDEX(Action_Register!K:K,ROW()-1),"")</f>
        <v/>
      </c>
    </row>
    <row r="266">
      <c r="A266">
        <f>IFERROR(INDEX(Action_Register!A:A,ROW()-1),"")</f>
        <v/>
      </c>
      <c r="B266">
        <f>IFERROR(INDEX(Action_Register!E:E,ROW()-1),"")</f>
        <v/>
      </c>
      <c r="C266">
        <f>IFERROR(VLOOKUP(INDEX(Action_Register!F:F,ROW()-1),Action_Templates!A:H,8,FALSE),"")</f>
        <v/>
      </c>
      <c r="D266">
        <f>IFERROR(INDEX(Action_Register!AB:AB,ROW()-1),"")</f>
        <v/>
      </c>
      <c r="E266">
        <f>IFERROR(INDEX(Action_Register!J:J,ROW()-1),"")</f>
        <v/>
      </c>
      <c r="F266">
        <f>IFERROR(INDEX(Action_Register!L:L,ROW()-1),"")</f>
        <v/>
      </c>
      <c r="G266">
        <f>IFERROR(INDEX(Action_Register!N:N,ROW()-1),"")</f>
        <v/>
      </c>
      <c r="H266">
        <f>IFERROR(INDEX(Action_Register!O:O,ROW()-1),"")</f>
        <v/>
      </c>
      <c r="I266">
        <f>IFERROR(INDEX(Action_Register!K:K,ROW()-1),"")</f>
        <v/>
      </c>
    </row>
    <row r="267">
      <c r="A267">
        <f>IFERROR(INDEX(Action_Register!A:A,ROW()-1),"")</f>
        <v/>
      </c>
      <c r="B267">
        <f>IFERROR(INDEX(Action_Register!E:E,ROW()-1),"")</f>
        <v/>
      </c>
      <c r="C267">
        <f>IFERROR(VLOOKUP(INDEX(Action_Register!F:F,ROW()-1),Action_Templates!A:H,8,FALSE),"")</f>
        <v/>
      </c>
      <c r="D267">
        <f>IFERROR(INDEX(Action_Register!AB:AB,ROW()-1),"")</f>
        <v/>
      </c>
      <c r="E267">
        <f>IFERROR(INDEX(Action_Register!J:J,ROW()-1),"")</f>
        <v/>
      </c>
      <c r="F267">
        <f>IFERROR(INDEX(Action_Register!L:L,ROW()-1),"")</f>
        <v/>
      </c>
      <c r="G267">
        <f>IFERROR(INDEX(Action_Register!N:N,ROW()-1),"")</f>
        <v/>
      </c>
      <c r="H267">
        <f>IFERROR(INDEX(Action_Register!O:O,ROW()-1),"")</f>
        <v/>
      </c>
      <c r="I267">
        <f>IFERROR(INDEX(Action_Register!K:K,ROW()-1),"")</f>
        <v/>
      </c>
    </row>
    <row r="268">
      <c r="A268">
        <f>IFERROR(INDEX(Action_Register!A:A,ROW()-1),"")</f>
        <v/>
      </c>
      <c r="B268">
        <f>IFERROR(INDEX(Action_Register!E:E,ROW()-1),"")</f>
        <v/>
      </c>
      <c r="C268">
        <f>IFERROR(VLOOKUP(INDEX(Action_Register!F:F,ROW()-1),Action_Templates!A:H,8,FALSE),"")</f>
        <v/>
      </c>
      <c r="D268">
        <f>IFERROR(INDEX(Action_Register!AB:AB,ROW()-1),"")</f>
        <v/>
      </c>
      <c r="E268">
        <f>IFERROR(INDEX(Action_Register!J:J,ROW()-1),"")</f>
        <v/>
      </c>
      <c r="F268">
        <f>IFERROR(INDEX(Action_Register!L:L,ROW()-1),"")</f>
        <v/>
      </c>
      <c r="G268">
        <f>IFERROR(INDEX(Action_Register!N:N,ROW()-1),"")</f>
        <v/>
      </c>
      <c r="H268">
        <f>IFERROR(INDEX(Action_Register!O:O,ROW()-1),"")</f>
        <v/>
      </c>
      <c r="I268">
        <f>IFERROR(INDEX(Action_Register!K:K,ROW()-1),"")</f>
        <v/>
      </c>
    </row>
    <row r="269">
      <c r="A269">
        <f>IFERROR(INDEX(Action_Register!A:A,ROW()-1),"")</f>
        <v/>
      </c>
      <c r="B269">
        <f>IFERROR(INDEX(Action_Register!E:E,ROW()-1),"")</f>
        <v/>
      </c>
      <c r="C269">
        <f>IFERROR(VLOOKUP(INDEX(Action_Register!F:F,ROW()-1),Action_Templates!A:H,8,FALSE),"")</f>
        <v/>
      </c>
      <c r="D269">
        <f>IFERROR(INDEX(Action_Register!AB:AB,ROW()-1),"")</f>
        <v/>
      </c>
      <c r="E269">
        <f>IFERROR(INDEX(Action_Register!J:J,ROW()-1),"")</f>
        <v/>
      </c>
      <c r="F269">
        <f>IFERROR(INDEX(Action_Register!L:L,ROW()-1),"")</f>
        <v/>
      </c>
      <c r="G269">
        <f>IFERROR(INDEX(Action_Register!N:N,ROW()-1),"")</f>
        <v/>
      </c>
      <c r="H269">
        <f>IFERROR(INDEX(Action_Register!O:O,ROW()-1),"")</f>
        <v/>
      </c>
      <c r="I269">
        <f>IFERROR(INDEX(Action_Register!K:K,ROW()-1),"")</f>
        <v/>
      </c>
    </row>
    <row r="270">
      <c r="A270">
        <f>IFERROR(INDEX(Action_Register!A:A,ROW()-1),"")</f>
        <v/>
      </c>
      <c r="B270">
        <f>IFERROR(INDEX(Action_Register!E:E,ROW()-1),"")</f>
        <v/>
      </c>
      <c r="C270">
        <f>IFERROR(VLOOKUP(INDEX(Action_Register!F:F,ROW()-1),Action_Templates!A:H,8,FALSE),"")</f>
        <v/>
      </c>
      <c r="D270">
        <f>IFERROR(INDEX(Action_Register!AB:AB,ROW()-1),"")</f>
        <v/>
      </c>
      <c r="E270">
        <f>IFERROR(INDEX(Action_Register!J:J,ROW()-1),"")</f>
        <v/>
      </c>
      <c r="F270">
        <f>IFERROR(INDEX(Action_Register!L:L,ROW()-1),"")</f>
        <v/>
      </c>
      <c r="G270">
        <f>IFERROR(INDEX(Action_Register!N:N,ROW()-1),"")</f>
        <v/>
      </c>
      <c r="H270">
        <f>IFERROR(INDEX(Action_Register!O:O,ROW()-1),"")</f>
        <v/>
      </c>
      <c r="I270">
        <f>IFERROR(INDEX(Action_Register!K:K,ROW()-1),"")</f>
        <v/>
      </c>
    </row>
    <row r="271">
      <c r="A271">
        <f>IFERROR(INDEX(Action_Register!A:A,ROW()-1),"")</f>
        <v/>
      </c>
      <c r="B271">
        <f>IFERROR(INDEX(Action_Register!E:E,ROW()-1),"")</f>
        <v/>
      </c>
      <c r="C271">
        <f>IFERROR(VLOOKUP(INDEX(Action_Register!F:F,ROW()-1),Action_Templates!A:H,8,FALSE),"")</f>
        <v/>
      </c>
      <c r="D271">
        <f>IFERROR(INDEX(Action_Register!AB:AB,ROW()-1),"")</f>
        <v/>
      </c>
      <c r="E271">
        <f>IFERROR(INDEX(Action_Register!J:J,ROW()-1),"")</f>
        <v/>
      </c>
      <c r="F271">
        <f>IFERROR(INDEX(Action_Register!L:L,ROW()-1),"")</f>
        <v/>
      </c>
      <c r="G271">
        <f>IFERROR(INDEX(Action_Register!N:N,ROW()-1),"")</f>
        <v/>
      </c>
      <c r="H271">
        <f>IFERROR(INDEX(Action_Register!O:O,ROW()-1),"")</f>
        <v/>
      </c>
      <c r="I271">
        <f>IFERROR(INDEX(Action_Register!K:K,ROW()-1),"")</f>
        <v/>
      </c>
    </row>
    <row r="272">
      <c r="A272">
        <f>IFERROR(INDEX(Action_Register!A:A,ROW()-1),"")</f>
        <v/>
      </c>
      <c r="B272">
        <f>IFERROR(INDEX(Action_Register!E:E,ROW()-1),"")</f>
        <v/>
      </c>
      <c r="C272">
        <f>IFERROR(VLOOKUP(INDEX(Action_Register!F:F,ROW()-1),Action_Templates!A:H,8,FALSE),"")</f>
        <v/>
      </c>
      <c r="D272">
        <f>IFERROR(INDEX(Action_Register!AB:AB,ROW()-1),"")</f>
        <v/>
      </c>
      <c r="E272">
        <f>IFERROR(INDEX(Action_Register!J:J,ROW()-1),"")</f>
        <v/>
      </c>
      <c r="F272">
        <f>IFERROR(INDEX(Action_Register!L:L,ROW()-1),"")</f>
        <v/>
      </c>
      <c r="G272">
        <f>IFERROR(INDEX(Action_Register!N:N,ROW()-1),"")</f>
        <v/>
      </c>
      <c r="H272">
        <f>IFERROR(INDEX(Action_Register!O:O,ROW()-1),"")</f>
        <v/>
      </c>
      <c r="I272">
        <f>IFERROR(INDEX(Action_Register!K:K,ROW()-1),"")</f>
        <v/>
      </c>
    </row>
    <row r="273">
      <c r="A273">
        <f>IFERROR(INDEX(Action_Register!A:A,ROW()-1),"")</f>
        <v/>
      </c>
      <c r="B273">
        <f>IFERROR(INDEX(Action_Register!E:E,ROW()-1),"")</f>
        <v/>
      </c>
      <c r="C273">
        <f>IFERROR(VLOOKUP(INDEX(Action_Register!F:F,ROW()-1),Action_Templates!A:H,8,FALSE),"")</f>
        <v/>
      </c>
      <c r="D273">
        <f>IFERROR(INDEX(Action_Register!AB:AB,ROW()-1),"")</f>
        <v/>
      </c>
      <c r="E273">
        <f>IFERROR(INDEX(Action_Register!J:J,ROW()-1),"")</f>
        <v/>
      </c>
      <c r="F273">
        <f>IFERROR(INDEX(Action_Register!L:L,ROW()-1),"")</f>
        <v/>
      </c>
      <c r="G273">
        <f>IFERROR(INDEX(Action_Register!N:N,ROW()-1),"")</f>
        <v/>
      </c>
      <c r="H273">
        <f>IFERROR(INDEX(Action_Register!O:O,ROW()-1),"")</f>
        <v/>
      </c>
      <c r="I273">
        <f>IFERROR(INDEX(Action_Register!K:K,ROW()-1),"")</f>
        <v/>
      </c>
    </row>
    <row r="274">
      <c r="A274">
        <f>IFERROR(INDEX(Action_Register!A:A,ROW()-1),"")</f>
        <v/>
      </c>
      <c r="B274">
        <f>IFERROR(INDEX(Action_Register!E:E,ROW()-1),"")</f>
        <v/>
      </c>
      <c r="C274">
        <f>IFERROR(VLOOKUP(INDEX(Action_Register!F:F,ROW()-1),Action_Templates!A:H,8,FALSE),"")</f>
        <v/>
      </c>
      <c r="D274">
        <f>IFERROR(INDEX(Action_Register!AB:AB,ROW()-1),"")</f>
        <v/>
      </c>
      <c r="E274">
        <f>IFERROR(INDEX(Action_Register!J:J,ROW()-1),"")</f>
        <v/>
      </c>
      <c r="F274">
        <f>IFERROR(INDEX(Action_Register!L:L,ROW()-1),"")</f>
        <v/>
      </c>
      <c r="G274">
        <f>IFERROR(INDEX(Action_Register!N:N,ROW()-1),"")</f>
        <v/>
      </c>
      <c r="H274">
        <f>IFERROR(INDEX(Action_Register!O:O,ROW()-1),"")</f>
        <v/>
      </c>
      <c r="I274">
        <f>IFERROR(INDEX(Action_Register!K:K,ROW()-1),"")</f>
        <v/>
      </c>
    </row>
    <row r="275">
      <c r="A275">
        <f>IFERROR(INDEX(Action_Register!A:A,ROW()-1),"")</f>
        <v/>
      </c>
      <c r="B275">
        <f>IFERROR(INDEX(Action_Register!E:E,ROW()-1),"")</f>
        <v/>
      </c>
      <c r="C275">
        <f>IFERROR(VLOOKUP(INDEX(Action_Register!F:F,ROW()-1),Action_Templates!A:H,8,FALSE),"")</f>
        <v/>
      </c>
      <c r="D275">
        <f>IFERROR(INDEX(Action_Register!AB:AB,ROW()-1),"")</f>
        <v/>
      </c>
      <c r="E275">
        <f>IFERROR(INDEX(Action_Register!J:J,ROW()-1),"")</f>
        <v/>
      </c>
      <c r="F275">
        <f>IFERROR(INDEX(Action_Register!L:L,ROW()-1),"")</f>
        <v/>
      </c>
      <c r="G275">
        <f>IFERROR(INDEX(Action_Register!N:N,ROW()-1),"")</f>
        <v/>
      </c>
      <c r="H275">
        <f>IFERROR(INDEX(Action_Register!O:O,ROW()-1),"")</f>
        <v/>
      </c>
      <c r="I275">
        <f>IFERROR(INDEX(Action_Register!K:K,ROW()-1),"")</f>
        <v/>
      </c>
    </row>
    <row r="276">
      <c r="A276">
        <f>IFERROR(INDEX(Action_Register!A:A,ROW()-1),"")</f>
        <v/>
      </c>
      <c r="B276">
        <f>IFERROR(INDEX(Action_Register!E:E,ROW()-1),"")</f>
        <v/>
      </c>
      <c r="C276">
        <f>IFERROR(VLOOKUP(INDEX(Action_Register!F:F,ROW()-1),Action_Templates!A:H,8,FALSE),"")</f>
        <v/>
      </c>
      <c r="D276">
        <f>IFERROR(INDEX(Action_Register!AB:AB,ROW()-1),"")</f>
        <v/>
      </c>
      <c r="E276">
        <f>IFERROR(INDEX(Action_Register!J:J,ROW()-1),"")</f>
        <v/>
      </c>
      <c r="F276">
        <f>IFERROR(INDEX(Action_Register!L:L,ROW()-1),"")</f>
        <v/>
      </c>
      <c r="G276">
        <f>IFERROR(INDEX(Action_Register!N:N,ROW()-1),"")</f>
        <v/>
      </c>
      <c r="H276">
        <f>IFERROR(INDEX(Action_Register!O:O,ROW()-1),"")</f>
        <v/>
      </c>
      <c r="I276">
        <f>IFERROR(INDEX(Action_Register!K:K,ROW()-1),"")</f>
        <v/>
      </c>
    </row>
    <row r="277">
      <c r="A277">
        <f>IFERROR(INDEX(Action_Register!A:A,ROW()-1),"")</f>
        <v/>
      </c>
      <c r="B277">
        <f>IFERROR(INDEX(Action_Register!E:E,ROW()-1),"")</f>
        <v/>
      </c>
      <c r="C277">
        <f>IFERROR(VLOOKUP(INDEX(Action_Register!F:F,ROW()-1),Action_Templates!A:H,8,FALSE),"")</f>
        <v/>
      </c>
      <c r="D277">
        <f>IFERROR(INDEX(Action_Register!AB:AB,ROW()-1),"")</f>
        <v/>
      </c>
      <c r="E277">
        <f>IFERROR(INDEX(Action_Register!J:J,ROW()-1),"")</f>
        <v/>
      </c>
      <c r="F277">
        <f>IFERROR(INDEX(Action_Register!L:L,ROW()-1),"")</f>
        <v/>
      </c>
      <c r="G277">
        <f>IFERROR(INDEX(Action_Register!N:N,ROW()-1),"")</f>
        <v/>
      </c>
      <c r="H277">
        <f>IFERROR(INDEX(Action_Register!O:O,ROW()-1),"")</f>
        <v/>
      </c>
      <c r="I277">
        <f>IFERROR(INDEX(Action_Register!K:K,ROW()-1),"")</f>
        <v/>
      </c>
    </row>
    <row r="278">
      <c r="A278">
        <f>IFERROR(INDEX(Action_Register!A:A,ROW()-1),"")</f>
        <v/>
      </c>
      <c r="B278">
        <f>IFERROR(INDEX(Action_Register!E:E,ROW()-1),"")</f>
        <v/>
      </c>
      <c r="C278">
        <f>IFERROR(VLOOKUP(INDEX(Action_Register!F:F,ROW()-1),Action_Templates!A:H,8,FALSE),"")</f>
        <v/>
      </c>
      <c r="D278">
        <f>IFERROR(INDEX(Action_Register!AB:AB,ROW()-1),"")</f>
        <v/>
      </c>
      <c r="E278">
        <f>IFERROR(INDEX(Action_Register!J:J,ROW()-1),"")</f>
        <v/>
      </c>
      <c r="F278">
        <f>IFERROR(INDEX(Action_Register!L:L,ROW()-1),"")</f>
        <v/>
      </c>
      <c r="G278">
        <f>IFERROR(INDEX(Action_Register!N:N,ROW()-1),"")</f>
        <v/>
      </c>
      <c r="H278">
        <f>IFERROR(INDEX(Action_Register!O:O,ROW()-1),"")</f>
        <v/>
      </c>
      <c r="I278">
        <f>IFERROR(INDEX(Action_Register!K:K,ROW()-1),"")</f>
        <v/>
      </c>
    </row>
    <row r="279">
      <c r="A279">
        <f>IFERROR(INDEX(Action_Register!A:A,ROW()-1),"")</f>
        <v/>
      </c>
      <c r="B279">
        <f>IFERROR(INDEX(Action_Register!E:E,ROW()-1),"")</f>
        <v/>
      </c>
      <c r="C279">
        <f>IFERROR(VLOOKUP(INDEX(Action_Register!F:F,ROW()-1),Action_Templates!A:H,8,FALSE),"")</f>
        <v/>
      </c>
      <c r="D279">
        <f>IFERROR(INDEX(Action_Register!AB:AB,ROW()-1),"")</f>
        <v/>
      </c>
      <c r="E279">
        <f>IFERROR(INDEX(Action_Register!J:J,ROW()-1),"")</f>
        <v/>
      </c>
      <c r="F279">
        <f>IFERROR(INDEX(Action_Register!L:L,ROW()-1),"")</f>
        <v/>
      </c>
      <c r="G279">
        <f>IFERROR(INDEX(Action_Register!N:N,ROW()-1),"")</f>
        <v/>
      </c>
      <c r="H279">
        <f>IFERROR(INDEX(Action_Register!O:O,ROW()-1),"")</f>
        <v/>
      </c>
      <c r="I279">
        <f>IFERROR(INDEX(Action_Register!K:K,ROW()-1),"")</f>
        <v/>
      </c>
    </row>
    <row r="280">
      <c r="A280">
        <f>IFERROR(INDEX(Action_Register!A:A,ROW()-1),"")</f>
        <v/>
      </c>
      <c r="B280">
        <f>IFERROR(INDEX(Action_Register!E:E,ROW()-1),"")</f>
        <v/>
      </c>
      <c r="C280">
        <f>IFERROR(VLOOKUP(INDEX(Action_Register!F:F,ROW()-1),Action_Templates!A:H,8,FALSE),"")</f>
        <v/>
      </c>
      <c r="D280">
        <f>IFERROR(INDEX(Action_Register!AB:AB,ROW()-1),"")</f>
        <v/>
      </c>
      <c r="E280">
        <f>IFERROR(INDEX(Action_Register!J:J,ROW()-1),"")</f>
        <v/>
      </c>
      <c r="F280">
        <f>IFERROR(INDEX(Action_Register!L:L,ROW()-1),"")</f>
        <v/>
      </c>
      <c r="G280">
        <f>IFERROR(INDEX(Action_Register!N:N,ROW()-1),"")</f>
        <v/>
      </c>
      <c r="H280">
        <f>IFERROR(INDEX(Action_Register!O:O,ROW()-1),"")</f>
        <v/>
      </c>
      <c r="I280">
        <f>IFERROR(INDEX(Action_Register!K:K,ROW()-1),"")</f>
        <v/>
      </c>
    </row>
    <row r="281">
      <c r="A281">
        <f>IFERROR(INDEX(Action_Register!A:A,ROW()-1),"")</f>
        <v/>
      </c>
      <c r="B281">
        <f>IFERROR(INDEX(Action_Register!E:E,ROW()-1),"")</f>
        <v/>
      </c>
      <c r="C281">
        <f>IFERROR(VLOOKUP(INDEX(Action_Register!F:F,ROW()-1),Action_Templates!A:H,8,FALSE),"")</f>
        <v/>
      </c>
      <c r="D281">
        <f>IFERROR(INDEX(Action_Register!AB:AB,ROW()-1),"")</f>
        <v/>
      </c>
      <c r="E281">
        <f>IFERROR(INDEX(Action_Register!J:J,ROW()-1),"")</f>
        <v/>
      </c>
      <c r="F281">
        <f>IFERROR(INDEX(Action_Register!L:L,ROW()-1),"")</f>
        <v/>
      </c>
      <c r="G281">
        <f>IFERROR(INDEX(Action_Register!N:N,ROW()-1),"")</f>
        <v/>
      </c>
      <c r="H281">
        <f>IFERROR(INDEX(Action_Register!O:O,ROW()-1),"")</f>
        <v/>
      </c>
      <c r="I281">
        <f>IFERROR(INDEX(Action_Register!K:K,ROW()-1),"")</f>
        <v/>
      </c>
    </row>
    <row r="282">
      <c r="A282">
        <f>IFERROR(INDEX(Action_Register!A:A,ROW()-1),"")</f>
        <v/>
      </c>
      <c r="B282">
        <f>IFERROR(INDEX(Action_Register!E:E,ROW()-1),"")</f>
        <v/>
      </c>
      <c r="C282">
        <f>IFERROR(VLOOKUP(INDEX(Action_Register!F:F,ROW()-1),Action_Templates!A:H,8,FALSE),"")</f>
        <v/>
      </c>
      <c r="D282">
        <f>IFERROR(INDEX(Action_Register!AB:AB,ROW()-1),"")</f>
        <v/>
      </c>
      <c r="E282">
        <f>IFERROR(INDEX(Action_Register!J:J,ROW()-1),"")</f>
        <v/>
      </c>
      <c r="F282">
        <f>IFERROR(INDEX(Action_Register!L:L,ROW()-1),"")</f>
        <v/>
      </c>
      <c r="G282">
        <f>IFERROR(INDEX(Action_Register!N:N,ROW()-1),"")</f>
        <v/>
      </c>
      <c r="H282">
        <f>IFERROR(INDEX(Action_Register!O:O,ROW()-1),"")</f>
        <v/>
      </c>
      <c r="I282">
        <f>IFERROR(INDEX(Action_Register!K:K,ROW()-1),"")</f>
        <v/>
      </c>
    </row>
    <row r="283">
      <c r="A283">
        <f>IFERROR(INDEX(Action_Register!A:A,ROW()-1),"")</f>
        <v/>
      </c>
      <c r="B283">
        <f>IFERROR(INDEX(Action_Register!E:E,ROW()-1),"")</f>
        <v/>
      </c>
      <c r="C283">
        <f>IFERROR(VLOOKUP(INDEX(Action_Register!F:F,ROW()-1),Action_Templates!A:H,8,FALSE),"")</f>
        <v/>
      </c>
      <c r="D283">
        <f>IFERROR(INDEX(Action_Register!AB:AB,ROW()-1),"")</f>
        <v/>
      </c>
      <c r="E283">
        <f>IFERROR(INDEX(Action_Register!J:J,ROW()-1),"")</f>
        <v/>
      </c>
      <c r="F283">
        <f>IFERROR(INDEX(Action_Register!L:L,ROW()-1),"")</f>
        <v/>
      </c>
      <c r="G283">
        <f>IFERROR(INDEX(Action_Register!N:N,ROW()-1),"")</f>
        <v/>
      </c>
      <c r="H283">
        <f>IFERROR(INDEX(Action_Register!O:O,ROW()-1),"")</f>
        <v/>
      </c>
      <c r="I283">
        <f>IFERROR(INDEX(Action_Register!K:K,ROW()-1),"")</f>
        <v/>
      </c>
    </row>
    <row r="284">
      <c r="A284">
        <f>IFERROR(INDEX(Action_Register!A:A,ROW()-1),"")</f>
        <v/>
      </c>
      <c r="B284">
        <f>IFERROR(INDEX(Action_Register!E:E,ROW()-1),"")</f>
        <v/>
      </c>
      <c r="C284">
        <f>IFERROR(VLOOKUP(INDEX(Action_Register!F:F,ROW()-1),Action_Templates!A:H,8,FALSE),"")</f>
        <v/>
      </c>
      <c r="D284">
        <f>IFERROR(INDEX(Action_Register!AB:AB,ROW()-1),"")</f>
        <v/>
      </c>
      <c r="E284">
        <f>IFERROR(INDEX(Action_Register!J:J,ROW()-1),"")</f>
        <v/>
      </c>
      <c r="F284">
        <f>IFERROR(INDEX(Action_Register!L:L,ROW()-1),"")</f>
        <v/>
      </c>
      <c r="G284">
        <f>IFERROR(INDEX(Action_Register!N:N,ROW()-1),"")</f>
        <v/>
      </c>
      <c r="H284">
        <f>IFERROR(INDEX(Action_Register!O:O,ROW()-1),"")</f>
        <v/>
      </c>
      <c r="I284">
        <f>IFERROR(INDEX(Action_Register!K:K,ROW()-1),"")</f>
        <v/>
      </c>
    </row>
    <row r="285">
      <c r="A285">
        <f>IFERROR(INDEX(Action_Register!A:A,ROW()-1),"")</f>
        <v/>
      </c>
      <c r="B285">
        <f>IFERROR(INDEX(Action_Register!E:E,ROW()-1),"")</f>
        <v/>
      </c>
      <c r="C285">
        <f>IFERROR(VLOOKUP(INDEX(Action_Register!F:F,ROW()-1),Action_Templates!A:H,8,FALSE),"")</f>
        <v/>
      </c>
      <c r="D285">
        <f>IFERROR(INDEX(Action_Register!AB:AB,ROW()-1),"")</f>
        <v/>
      </c>
      <c r="E285">
        <f>IFERROR(INDEX(Action_Register!J:J,ROW()-1),"")</f>
        <v/>
      </c>
      <c r="F285">
        <f>IFERROR(INDEX(Action_Register!L:L,ROW()-1),"")</f>
        <v/>
      </c>
      <c r="G285">
        <f>IFERROR(INDEX(Action_Register!N:N,ROW()-1),"")</f>
        <v/>
      </c>
      <c r="H285">
        <f>IFERROR(INDEX(Action_Register!O:O,ROW()-1),"")</f>
        <v/>
      </c>
      <c r="I285">
        <f>IFERROR(INDEX(Action_Register!K:K,ROW()-1),"")</f>
        <v/>
      </c>
    </row>
    <row r="286">
      <c r="A286">
        <f>IFERROR(INDEX(Action_Register!A:A,ROW()-1),"")</f>
        <v/>
      </c>
      <c r="B286">
        <f>IFERROR(INDEX(Action_Register!E:E,ROW()-1),"")</f>
        <v/>
      </c>
      <c r="C286">
        <f>IFERROR(VLOOKUP(INDEX(Action_Register!F:F,ROW()-1),Action_Templates!A:H,8,FALSE),"")</f>
        <v/>
      </c>
      <c r="D286">
        <f>IFERROR(INDEX(Action_Register!AB:AB,ROW()-1),"")</f>
        <v/>
      </c>
      <c r="E286">
        <f>IFERROR(INDEX(Action_Register!J:J,ROW()-1),"")</f>
        <v/>
      </c>
      <c r="F286">
        <f>IFERROR(INDEX(Action_Register!L:L,ROW()-1),"")</f>
        <v/>
      </c>
      <c r="G286">
        <f>IFERROR(INDEX(Action_Register!N:N,ROW()-1),"")</f>
        <v/>
      </c>
      <c r="H286">
        <f>IFERROR(INDEX(Action_Register!O:O,ROW()-1),"")</f>
        <v/>
      </c>
      <c r="I286">
        <f>IFERROR(INDEX(Action_Register!K:K,ROW()-1),"")</f>
        <v/>
      </c>
    </row>
    <row r="287">
      <c r="A287">
        <f>IFERROR(INDEX(Action_Register!A:A,ROW()-1),"")</f>
        <v/>
      </c>
      <c r="B287">
        <f>IFERROR(INDEX(Action_Register!E:E,ROW()-1),"")</f>
        <v/>
      </c>
      <c r="C287">
        <f>IFERROR(VLOOKUP(INDEX(Action_Register!F:F,ROW()-1),Action_Templates!A:H,8,FALSE),"")</f>
        <v/>
      </c>
      <c r="D287">
        <f>IFERROR(INDEX(Action_Register!AB:AB,ROW()-1),"")</f>
        <v/>
      </c>
      <c r="E287">
        <f>IFERROR(INDEX(Action_Register!J:J,ROW()-1),"")</f>
        <v/>
      </c>
      <c r="F287">
        <f>IFERROR(INDEX(Action_Register!L:L,ROW()-1),"")</f>
        <v/>
      </c>
      <c r="G287">
        <f>IFERROR(INDEX(Action_Register!N:N,ROW()-1),"")</f>
        <v/>
      </c>
      <c r="H287">
        <f>IFERROR(INDEX(Action_Register!O:O,ROW()-1),"")</f>
        <v/>
      </c>
      <c r="I287">
        <f>IFERROR(INDEX(Action_Register!K:K,ROW()-1),"")</f>
        <v/>
      </c>
    </row>
    <row r="288">
      <c r="A288">
        <f>IFERROR(INDEX(Action_Register!A:A,ROW()-1),"")</f>
        <v/>
      </c>
      <c r="B288">
        <f>IFERROR(INDEX(Action_Register!E:E,ROW()-1),"")</f>
        <v/>
      </c>
      <c r="C288">
        <f>IFERROR(VLOOKUP(INDEX(Action_Register!F:F,ROW()-1),Action_Templates!A:H,8,FALSE),"")</f>
        <v/>
      </c>
      <c r="D288">
        <f>IFERROR(INDEX(Action_Register!AB:AB,ROW()-1),"")</f>
        <v/>
      </c>
      <c r="E288">
        <f>IFERROR(INDEX(Action_Register!J:J,ROW()-1),"")</f>
        <v/>
      </c>
      <c r="F288">
        <f>IFERROR(INDEX(Action_Register!L:L,ROW()-1),"")</f>
        <v/>
      </c>
      <c r="G288">
        <f>IFERROR(INDEX(Action_Register!N:N,ROW()-1),"")</f>
        <v/>
      </c>
      <c r="H288">
        <f>IFERROR(INDEX(Action_Register!O:O,ROW()-1),"")</f>
        <v/>
      </c>
      <c r="I288">
        <f>IFERROR(INDEX(Action_Register!K:K,ROW()-1),"")</f>
        <v/>
      </c>
    </row>
    <row r="289">
      <c r="A289">
        <f>IFERROR(INDEX(Action_Register!A:A,ROW()-1),"")</f>
        <v/>
      </c>
      <c r="B289">
        <f>IFERROR(INDEX(Action_Register!E:E,ROW()-1),"")</f>
        <v/>
      </c>
      <c r="C289">
        <f>IFERROR(VLOOKUP(INDEX(Action_Register!F:F,ROW()-1),Action_Templates!A:H,8,FALSE),"")</f>
        <v/>
      </c>
      <c r="D289">
        <f>IFERROR(INDEX(Action_Register!AB:AB,ROW()-1),"")</f>
        <v/>
      </c>
      <c r="E289">
        <f>IFERROR(INDEX(Action_Register!J:J,ROW()-1),"")</f>
        <v/>
      </c>
      <c r="F289">
        <f>IFERROR(INDEX(Action_Register!L:L,ROW()-1),"")</f>
        <v/>
      </c>
      <c r="G289">
        <f>IFERROR(INDEX(Action_Register!N:N,ROW()-1),"")</f>
        <v/>
      </c>
      <c r="H289">
        <f>IFERROR(INDEX(Action_Register!O:O,ROW()-1),"")</f>
        <v/>
      </c>
      <c r="I289">
        <f>IFERROR(INDEX(Action_Register!K:K,ROW()-1),"")</f>
        <v/>
      </c>
    </row>
    <row r="290">
      <c r="A290">
        <f>IFERROR(INDEX(Action_Register!A:A,ROW()-1),"")</f>
        <v/>
      </c>
      <c r="B290">
        <f>IFERROR(INDEX(Action_Register!E:E,ROW()-1),"")</f>
        <v/>
      </c>
      <c r="C290">
        <f>IFERROR(VLOOKUP(INDEX(Action_Register!F:F,ROW()-1),Action_Templates!A:H,8,FALSE),"")</f>
        <v/>
      </c>
      <c r="D290">
        <f>IFERROR(INDEX(Action_Register!AB:AB,ROW()-1),"")</f>
        <v/>
      </c>
      <c r="E290">
        <f>IFERROR(INDEX(Action_Register!J:J,ROW()-1),"")</f>
        <v/>
      </c>
      <c r="F290">
        <f>IFERROR(INDEX(Action_Register!L:L,ROW()-1),"")</f>
        <v/>
      </c>
      <c r="G290">
        <f>IFERROR(INDEX(Action_Register!N:N,ROW()-1),"")</f>
        <v/>
      </c>
      <c r="H290">
        <f>IFERROR(INDEX(Action_Register!O:O,ROW()-1),"")</f>
        <v/>
      </c>
      <c r="I290">
        <f>IFERROR(INDEX(Action_Register!K:K,ROW()-1),"")</f>
        <v/>
      </c>
    </row>
    <row r="291">
      <c r="A291">
        <f>IFERROR(INDEX(Action_Register!A:A,ROW()-1),"")</f>
        <v/>
      </c>
      <c r="B291">
        <f>IFERROR(INDEX(Action_Register!E:E,ROW()-1),"")</f>
        <v/>
      </c>
      <c r="C291">
        <f>IFERROR(VLOOKUP(INDEX(Action_Register!F:F,ROW()-1),Action_Templates!A:H,8,FALSE),"")</f>
        <v/>
      </c>
      <c r="D291">
        <f>IFERROR(INDEX(Action_Register!AB:AB,ROW()-1),"")</f>
        <v/>
      </c>
      <c r="E291">
        <f>IFERROR(INDEX(Action_Register!J:J,ROW()-1),"")</f>
        <v/>
      </c>
      <c r="F291">
        <f>IFERROR(INDEX(Action_Register!L:L,ROW()-1),"")</f>
        <v/>
      </c>
      <c r="G291">
        <f>IFERROR(INDEX(Action_Register!N:N,ROW()-1),"")</f>
        <v/>
      </c>
      <c r="H291">
        <f>IFERROR(INDEX(Action_Register!O:O,ROW()-1),"")</f>
        <v/>
      </c>
      <c r="I291">
        <f>IFERROR(INDEX(Action_Register!K:K,ROW()-1),"")</f>
        <v/>
      </c>
    </row>
    <row r="292">
      <c r="A292">
        <f>IFERROR(INDEX(Action_Register!A:A,ROW()-1),"")</f>
        <v/>
      </c>
      <c r="B292">
        <f>IFERROR(INDEX(Action_Register!E:E,ROW()-1),"")</f>
        <v/>
      </c>
      <c r="C292">
        <f>IFERROR(VLOOKUP(INDEX(Action_Register!F:F,ROW()-1),Action_Templates!A:H,8,FALSE),"")</f>
        <v/>
      </c>
      <c r="D292">
        <f>IFERROR(INDEX(Action_Register!AB:AB,ROW()-1),"")</f>
        <v/>
      </c>
      <c r="E292">
        <f>IFERROR(INDEX(Action_Register!J:J,ROW()-1),"")</f>
        <v/>
      </c>
      <c r="F292">
        <f>IFERROR(INDEX(Action_Register!L:L,ROW()-1),"")</f>
        <v/>
      </c>
      <c r="G292">
        <f>IFERROR(INDEX(Action_Register!N:N,ROW()-1),"")</f>
        <v/>
      </c>
      <c r="H292">
        <f>IFERROR(INDEX(Action_Register!O:O,ROW()-1),"")</f>
        <v/>
      </c>
      <c r="I292">
        <f>IFERROR(INDEX(Action_Register!K:K,ROW()-1),"")</f>
        <v/>
      </c>
    </row>
    <row r="293">
      <c r="A293">
        <f>IFERROR(INDEX(Action_Register!A:A,ROW()-1),"")</f>
        <v/>
      </c>
      <c r="B293">
        <f>IFERROR(INDEX(Action_Register!E:E,ROW()-1),"")</f>
        <v/>
      </c>
      <c r="C293">
        <f>IFERROR(VLOOKUP(INDEX(Action_Register!F:F,ROW()-1),Action_Templates!A:H,8,FALSE),"")</f>
        <v/>
      </c>
      <c r="D293">
        <f>IFERROR(INDEX(Action_Register!AB:AB,ROW()-1),"")</f>
        <v/>
      </c>
      <c r="E293">
        <f>IFERROR(INDEX(Action_Register!J:J,ROW()-1),"")</f>
        <v/>
      </c>
      <c r="F293">
        <f>IFERROR(INDEX(Action_Register!L:L,ROW()-1),"")</f>
        <v/>
      </c>
      <c r="G293">
        <f>IFERROR(INDEX(Action_Register!N:N,ROW()-1),"")</f>
        <v/>
      </c>
      <c r="H293">
        <f>IFERROR(INDEX(Action_Register!O:O,ROW()-1),"")</f>
        <v/>
      </c>
      <c r="I293">
        <f>IFERROR(INDEX(Action_Register!K:K,ROW()-1),"")</f>
        <v/>
      </c>
    </row>
    <row r="294">
      <c r="A294">
        <f>IFERROR(INDEX(Action_Register!A:A,ROW()-1),"")</f>
        <v/>
      </c>
      <c r="B294">
        <f>IFERROR(INDEX(Action_Register!E:E,ROW()-1),"")</f>
        <v/>
      </c>
      <c r="C294">
        <f>IFERROR(VLOOKUP(INDEX(Action_Register!F:F,ROW()-1),Action_Templates!A:H,8,FALSE),"")</f>
        <v/>
      </c>
      <c r="D294">
        <f>IFERROR(INDEX(Action_Register!AB:AB,ROW()-1),"")</f>
        <v/>
      </c>
      <c r="E294">
        <f>IFERROR(INDEX(Action_Register!J:J,ROW()-1),"")</f>
        <v/>
      </c>
      <c r="F294">
        <f>IFERROR(INDEX(Action_Register!L:L,ROW()-1),"")</f>
        <v/>
      </c>
      <c r="G294">
        <f>IFERROR(INDEX(Action_Register!N:N,ROW()-1),"")</f>
        <v/>
      </c>
      <c r="H294">
        <f>IFERROR(INDEX(Action_Register!O:O,ROW()-1),"")</f>
        <v/>
      </c>
      <c r="I294">
        <f>IFERROR(INDEX(Action_Register!K:K,ROW()-1),"")</f>
        <v/>
      </c>
    </row>
    <row r="295">
      <c r="A295">
        <f>IFERROR(INDEX(Action_Register!A:A,ROW()-1),"")</f>
        <v/>
      </c>
      <c r="B295">
        <f>IFERROR(INDEX(Action_Register!E:E,ROW()-1),"")</f>
        <v/>
      </c>
      <c r="C295">
        <f>IFERROR(VLOOKUP(INDEX(Action_Register!F:F,ROW()-1),Action_Templates!A:H,8,FALSE),"")</f>
        <v/>
      </c>
      <c r="D295">
        <f>IFERROR(INDEX(Action_Register!AB:AB,ROW()-1),"")</f>
        <v/>
      </c>
      <c r="E295">
        <f>IFERROR(INDEX(Action_Register!J:J,ROW()-1),"")</f>
        <v/>
      </c>
      <c r="F295">
        <f>IFERROR(INDEX(Action_Register!L:L,ROW()-1),"")</f>
        <v/>
      </c>
      <c r="G295">
        <f>IFERROR(INDEX(Action_Register!N:N,ROW()-1),"")</f>
        <v/>
      </c>
      <c r="H295">
        <f>IFERROR(INDEX(Action_Register!O:O,ROW()-1),"")</f>
        <v/>
      </c>
      <c r="I295">
        <f>IFERROR(INDEX(Action_Register!K:K,ROW()-1),"")</f>
        <v/>
      </c>
    </row>
    <row r="296">
      <c r="A296">
        <f>IFERROR(INDEX(Action_Register!A:A,ROW()-1),"")</f>
        <v/>
      </c>
      <c r="B296">
        <f>IFERROR(INDEX(Action_Register!E:E,ROW()-1),"")</f>
        <v/>
      </c>
      <c r="C296">
        <f>IFERROR(VLOOKUP(INDEX(Action_Register!F:F,ROW()-1),Action_Templates!A:H,8,FALSE),"")</f>
        <v/>
      </c>
      <c r="D296">
        <f>IFERROR(INDEX(Action_Register!AB:AB,ROW()-1),"")</f>
        <v/>
      </c>
      <c r="E296">
        <f>IFERROR(INDEX(Action_Register!J:J,ROW()-1),"")</f>
        <v/>
      </c>
      <c r="F296">
        <f>IFERROR(INDEX(Action_Register!L:L,ROW()-1),"")</f>
        <v/>
      </c>
      <c r="G296">
        <f>IFERROR(INDEX(Action_Register!N:N,ROW()-1),"")</f>
        <v/>
      </c>
      <c r="H296">
        <f>IFERROR(INDEX(Action_Register!O:O,ROW()-1),"")</f>
        <v/>
      </c>
      <c r="I296">
        <f>IFERROR(INDEX(Action_Register!K:K,ROW()-1),"")</f>
        <v/>
      </c>
    </row>
    <row r="297">
      <c r="A297">
        <f>IFERROR(INDEX(Action_Register!A:A,ROW()-1),"")</f>
        <v/>
      </c>
      <c r="B297">
        <f>IFERROR(INDEX(Action_Register!E:E,ROW()-1),"")</f>
        <v/>
      </c>
      <c r="C297">
        <f>IFERROR(VLOOKUP(INDEX(Action_Register!F:F,ROW()-1),Action_Templates!A:H,8,FALSE),"")</f>
        <v/>
      </c>
      <c r="D297">
        <f>IFERROR(INDEX(Action_Register!AB:AB,ROW()-1),"")</f>
        <v/>
      </c>
      <c r="E297">
        <f>IFERROR(INDEX(Action_Register!J:J,ROW()-1),"")</f>
        <v/>
      </c>
      <c r="F297">
        <f>IFERROR(INDEX(Action_Register!L:L,ROW()-1),"")</f>
        <v/>
      </c>
      <c r="G297">
        <f>IFERROR(INDEX(Action_Register!N:N,ROW()-1),"")</f>
        <v/>
      </c>
      <c r="H297">
        <f>IFERROR(INDEX(Action_Register!O:O,ROW()-1),"")</f>
        <v/>
      </c>
      <c r="I297">
        <f>IFERROR(INDEX(Action_Register!K:K,ROW()-1),"")</f>
        <v/>
      </c>
    </row>
    <row r="298">
      <c r="A298">
        <f>IFERROR(INDEX(Action_Register!A:A,ROW()-1),"")</f>
        <v/>
      </c>
      <c r="B298">
        <f>IFERROR(INDEX(Action_Register!E:E,ROW()-1),"")</f>
        <v/>
      </c>
      <c r="C298">
        <f>IFERROR(VLOOKUP(INDEX(Action_Register!F:F,ROW()-1),Action_Templates!A:H,8,FALSE),"")</f>
        <v/>
      </c>
      <c r="D298">
        <f>IFERROR(INDEX(Action_Register!AB:AB,ROW()-1),"")</f>
        <v/>
      </c>
      <c r="E298">
        <f>IFERROR(INDEX(Action_Register!J:J,ROW()-1),"")</f>
        <v/>
      </c>
      <c r="F298">
        <f>IFERROR(INDEX(Action_Register!L:L,ROW()-1),"")</f>
        <v/>
      </c>
      <c r="G298">
        <f>IFERROR(INDEX(Action_Register!N:N,ROW()-1),"")</f>
        <v/>
      </c>
      <c r="H298">
        <f>IFERROR(INDEX(Action_Register!O:O,ROW()-1),"")</f>
        <v/>
      </c>
      <c r="I298">
        <f>IFERROR(INDEX(Action_Register!K:K,ROW()-1),"")</f>
        <v/>
      </c>
    </row>
    <row r="299">
      <c r="A299">
        <f>IFERROR(INDEX(Action_Register!A:A,ROW()-1),"")</f>
        <v/>
      </c>
      <c r="B299">
        <f>IFERROR(INDEX(Action_Register!E:E,ROW()-1),"")</f>
        <v/>
      </c>
      <c r="C299">
        <f>IFERROR(VLOOKUP(INDEX(Action_Register!F:F,ROW()-1),Action_Templates!A:H,8,FALSE),"")</f>
        <v/>
      </c>
      <c r="D299">
        <f>IFERROR(INDEX(Action_Register!AB:AB,ROW()-1),"")</f>
        <v/>
      </c>
      <c r="E299">
        <f>IFERROR(INDEX(Action_Register!J:J,ROW()-1),"")</f>
        <v/>
      </c>
      <c r="F299">
        <f>IFERROR(INDEX(Action_Register!L:L,ROW()-1),"")</f>
        <v/>
      </c>
      <c r="G299">
        <f>IFERROR(INDEX(Action_Register!N:N,ROW()-1),"")</f>
        <v/>
      </c>
      <c r="H299">
        <f>IFERROR(INDEX(Action_Register!O:O,ROW()-1),"")</f>
        <v/>
      </c>
      <c r="I299">
        <f>IFERROR(INDEX(Action_Register!K:K,ROW()-1),"")</f>
        <v/>
      </c>
    </row>
    <row r="300">
      <c r="A300">
        <f>IFERROR(INDEX(Action_Register!A:A,ROW()-1),"")</f>
        <v/>
      </c>
      <c r="B300">
        <f>IFERROR(INDEX(Action_Register!E:E,ROW()-1),"")</f>
        <v/>
      </c>
      <c r="C300">
        <f>IFERROR(VLOOKUP(INDEX(Action_Register!F:F,ROW()-1),Action_Templates!A:H,8,FALSE),"")</f>
        <v/>
      </c>
      <c r="D300">
        <f>IFERROR(INDEX(Action_Register!AB:AB,ROW()-1),"")</f>
        <v/>
      </c>
      <c r="E300">
        <f>IFERROR(INDEX(Action_Register!J:J,ROW()-1),"")</f>
        <v/>
      </c>
      <c r="F300">
        <f>IFERROR(INDEX(Action_Register!L:L,ROW()-1),"")</f>
        <v/>
      </c>
      <c r="G300">
        <f>IFERROR(INDEX(Action_Register!N:N,ROW()-1),"")</f>
        <v/>
      </c>
      <c r="H300">
        <f>IFERROR(INDEX(Action_Register!O:O,ROW()-1),"")</f>
        <v/>
      </c>
      <c r="I300">
        <f>IFERROR(INDEX(Action_Register!K:K,ROW()-1),"")</f>
        <v/>
      </c>
    </row>
  </sheetData>
  <autoFilter ref="A1:I1"/>
  <conditionalFormatting sqref="E2:E500">
    <cfRule type="cellIs" priority="1" operator="equal" dxfId="0">
      <formula>"Critical"</formula>
    </cfRule>
  </conditionalFormatting>
  <conditionalFormatting sqref="I2:I500">
    <cfRule type="cellIs" priority="2" operator="equal" dxfId="0">
      <formula>"YES"</formula>
    </cfRule>
  </conditionalFormatting>
  <conditionalFormatting sqref="H2:H500">
    <cfRule type="cellIs" priority="3" operator="equal" dxfId="1">
      <formula>"Verified"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2025-12-24T03:27:13Z</dcterms:created>
  <dcterms:modified xmlns:dcterms="http://purl.org/dc/terms/" xmlns:xsi="http://www.w3.org/2001/XMLSchema-instance" xsi:type="dcterms:W3CDTF">2025-12-25T23:39:18Z</dcterms:modified>
</cp:coreProperties>
</file>